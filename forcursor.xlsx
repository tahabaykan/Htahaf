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c436163b388b03/Belgeler/"/>
    </mc:Choice>
  </mc:AlternateContent>
  <xr:revisionPtr revIDLastSave="0" documentId="8_{3AF45FF8-0A4E-4E07-84AF-0D9A4F698DF9}" xr6:coauthVersionLast="47" xr6:coauthVersionMax="47" xr10:uidLastSave="{00000000-0000-0000-0000-000000000000}"/>
  <bookViews>
    <workbookView xWindow="-108" yWindow="-108" windowWidth="23256" windowHeight="12456" xr2:uid="{2C92739B-8D15-483C-A72F-0CBFDA8C0E49}"/>
  </bookViews>
  <sheets>
    <sheet name="Alp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10" i="1" l="1"/>
  <c r="K710" i="1"/>
  <c r="J710" i="1"/>
  <c r="H710" i="1"/>
  <c r="Z709" i="1"/>
  <c r="U709" i="1"/>
  <c r="H709" i="1"/>
  <c r="Z708" i="1"/>
  <c r="U708" i="1"/>
  <c r="H708" i="1"/>
  <c r="Z707" i="1"/>
  <c r="U707" i="1"/>
  <c r="K707" i="1"/>
  <c r="J707" i="1"/>
  <c r="H707" i="1"/>
  <c r="Z706" i="1"/>
  <c r="U706" i="1"/>
  <c r="K706" i="1"/>
  <c r="J706" i="1"/>
  <c r="L706" i="1" s="1"/>
  <c r="M706" i="1" s="1"/>
  <c r="H706" i="1"/>
  <c r="Z705" i="1"/>
  <c r="U705" i="1"/>
  <c r="Q705" i="1"/>
  <c r="K705" i="1"/>
  <c r="J705" i="1"/>
  <c r="L705" i="1" s="1"/>
  <c r="M705" i="1" s="1"/>
  <c r="H705" i="1"/>
  <c r="Z704" i="1"/>
  <c r="U704" i="1"/>
  <c r="L704" i="1"/>
  <c r="M704" i="1" s="1"/>
  <c r="K704" i="1"/>
  <c r="J704" i="1"/>
  <c r="H704" i="1"/>
  <c r="Z703" i="1"/>
  <c r="U703" i="1"/>
  <c r="K703" i="1"/>
  <c r="J703" i="1"/>
  <c r="H703" i="1"/>
  <c r="Z702" i="1"/>
  <c r="U702" i="1"/>
  <c r="K702" i="1"/>
  <c r="J702" i="1"/>
  <c r="L702" i="1" s="1"/>
  <c r="H702" i="1"/>
  <c r="Z701" i="1"/>
  <c r="K701" i="1"/>
  <c r="J701" i="1"/>
  <c r="H701" i="1"/>
  <c r="Z700" i="1"/>
  <c r="K700" i="1"/>
  <c r="J700" i="1"/>
  <c r="H700" i="1"/>
  <c r="Z699" i="1"/>
  <c r="U699" i="1"/>
  <c r="Q699" i="1"/>
  <c r="K699" i="1"/>
  <c r="J699" i="1"/>
  <c r="H699" i="1"/>
  <c r="Z698" i="1"/>
  <c r="U698" i="1"/>
  <c r="Q698" i="1"/>
  <c r="L698" i="1"/>
  <c r="K698" i="1"/>
  <c r="J698" i="1"/>
  <c r="H698" i="1"/>
  <c r="Z697" i="1"/>
  <c r="U697" i="1"/>
  <c r="K697" i="1"/>
  <c r="J697" i="1"/>
  <c r="H697" i="1"/>
  <c r="Z696" i="1"/>
  <c r="U696" i="1"/>
  <c r="Q696" i="1"/>
  <c r="K696" i="1"/>
  <c r="J696" i="1"/>
  <c r="H696" i="1"/>
  <c r="Z695" i="1"/>
  <c r="U695" i="1"/>
  <c r="M695" i="1" s="1"/>
  <c r="Q695" i="1"/>
  <c r="H695" i="1"/>
  <c r="Z694" i="1"/>
  <c r="U694" i="1"/>
  <c r="K694" i="1"/>
  <c r="J694" i="1"/>
  <c r="L694" i="1" s="1"/>
  <c r="M694" i="1" s="1"/>
  <c r="H694" i="1"/>
  <c r="Z693" i="1"/>
  <c r="U693" i="1"/>
  <c r="H693" i="1"/>
  <c r="Z692" i="1"/>
  <c r="U692" i="1"/>
  <c r="Q692" i="1"/>
  <c r="H692" i="1"/>
  <c r="Z691" i="1"/>
  <c r="U691" i="1"/>
  <c r="K691" i="1"/>
  <c r="J691" i="1"/>
  <c r="L691" i="1" s="1"/>
  <c r="H691" i="1"/>
  <c r="Z690" i="1"/>
  <c r="U690" i="1"/>
  <c r="K690" i="1"/>
  <c r="J690" i="1"/>
  <c r="L690" i="1" s="1"/>
  <c r="H690" i="1"/>
  <c r="Z689" i="1"/>
  <c r="U689" i="1"/>
  <c r="K689" i="1"/>
  <c r="J689" i="1"/>
  <c r="H689" i="1"/>
  <c r="Z688" i="1"/>
  <c r="U688" i="1"/>
  <c r="K688" i="1"/>
  <c r="J688" i="1"/>
  <c r="H688" i="1"/>
  <c r="Z687" i="1"/>
  <c r="U687" i="1"/>
  <c r="Q687" i="1"/>
  <c r="K687" i="1"/>
  <c r="J687" i="1"/>
  <c r="H687" i="1"/>
  <c r="Z686" i="1"/>
  <c r="U686" i="1"/>
  <c r="Q686" i="1"/>
  <c r="L686" i="1" s="1"/>
  <c r="M686" i="1"/>
  <c r="K686" i="1"/>
  <c r="J686" i="1"/>
  <c r="H686" i="1"/>
  <c r="Z685" i="1"/>
  <c r="U685" i="1"/>
  <c r="K685" i="1"/>
  <c r="J685" i="1"/>
  <c r="L685" i="1" s="1"/>
  <c r="H685" i="1"/>
  <c r="Z684" i="1"/>
  <c r="U684" i="1"/>
  <c r="Q684" i="1"/>
  <c r="K684" i="1"/>
  <c r="J684" i="1"/>
  <c r="H684" i="1"/>
  <c r="Z683" i="1"/>
  <c r="U683" i="1"/>
  <c r="K683" i="1"/>
  <c r="J683" i="1"/>
  <c r="H683" i="1"/>
  <c r="Z682" i="1"/>
  <c r="U682" i="1"/>
  <c r="Q682" i="1"/>
  <c r="K682" i="1"/>
  <c r="J682" i="1"/>
  <c r="H682" i="1"/>
  <c r="Z681" i="1"/>
  <c r="U681" i="1"/>
  <c r="Q681" i="1"/>
  <c r="K681" i="1"/>
  <c r="J681" i="1"/>
  <c r="H681" i="1"/>
  <c r="Z680" i="1"/>
  <c r="Q680" i="1"/>
  <c r="K680" i="1"/>
  <c r="J680" i="1"/>
  <c r="H680" i="1"/>
  <c r="Z679" i="1"/>
  <c r="U679" i="1"/>
  <c r="Q679" i="1"/>
  <c r="K679" i="1"/>
  <c r="J679" i="1"/>
  <c r="H679" i="1"/>
  <c r="Z678" i="1"/>
  <c r="U678" i="1"/>
  <c r="Q678" i="1"/>
  <c r="K678" i="1"/>
  <c r="J678" i="1"/>
  <c r="M678" i="1" s="1"/>
  <c r="H678" i="1"/>
  <c r="Z677" i="1"/>
  <c r="U677" i="1"/>
  <c r="K677" i="1"/>
  <c r="J677" i="1"/>
  <c r="H677" i="1"/>
  <c r="Z676" i="1"/>
  <c r="U676" i="1"/>
  <c r="K676" i="1"/>
  <c r="J676" i="1"/>
  <c r="H676" i="1"/>
  <c r="Z675" i="1"/>
  <c r="U675" i="1"/>
  <c r="K675" i="1"/>
  <c r="J675" i="1"/>
  <c r="H675" i="1"/>
  <c r="Z674" i="1"/>
  <c r="U674" i="1"/>
  <c r="Q674" i="1"/>
  <c r="K674" i="1"/>
  <c r="J674" i="1"/>
  <c r="H674" i="1"/>
  <c r="Z673" i="1"/>
  <c r="K673" i="1"/>
  <c r="J673" i="1"/>
  <c r="H673" i="1"/>
  <c r="Z672" i="1"/>
  <c r="U672" i="1"/>
  <c r="K672" i="1"/>
  <c r="J672" i="1"/>
  <c r="H672" i="1"/>
  <c r="Z671" i="1"/>
  <c r="U671" i="1"/>
  <c r="K671" i="1"/>
  <c r="J671" i="1"/>
  <c r="H671" i="1"/>
  <c r="Z670" i="1"/>
  <c r="U670" i="1"/>
  <c r="Q670" i="1"/>
  <c r="K670" i="1"/>
  <c r="J670" i="1"/>
  <c r="H670" i="1"/>
  <c r="Z669" i="1"/>
  <c r="U669" i="1"/>
  <c r="Q669" i="1"/>
  <c r="K669" i="1"/>
  <c r="J669" i="1"/>
  <c r="H669" i="1"/>
  <c r="Z668" i="1"/>
  <c r="U668" i="1"/>
  <c r="Q668" i="1"/>
  <c r="K668" i="1"/>
  <c r="J668" i="1"/>
  <c r="L668" i="1" s="1"/>
  <c r="M668" i="1" s="1"/>
  <c r="H668" i="1"/>
  <c r="Z667" i="1"/>
  <c r="U667" i="1"/>
  <c r="Q667" i="1"/>
  <c r="K667" i="1"/>
  <c r="J667" i="1"/>
  <c r="H667" i="1"/>
  <c r="Z666" i="1"/>
  <c r="U666" i="1"/>
  <c r="M666" i="1"/>
  <c r="L666" i="1"/>
  <c r="K666" i="1"/>
  <c r="J666" i="1"/>
  <c r="H666" i="1"/>
  <c r="Z665" i="1"/>
  <c r="U665" i="1"/>
  <c r="K665" i="1"/>
  <c r="J665" i="1"/>
  <c r="L665" i="1" s="1"/>
  <c r="M665" i="1" s="1"/>
  <c r="H665" i="1"/>
  <c r="Z664" i="1"/>
  <c r="U664" i="1"/>
  <c r="Q664" i="1"/>
  <c r="M664" i="1"/>
  <c r="L664" i="1"/>
  <c r="K664" i="1"/>
  <c r="J664" i="1"/>
  <c r="H664" i="1"/>
  <c r="Z663" i="1"/>
  <c r="U663" i="1"/>
  <c r="K663" i="1"/>
  <c r="J663" i="1"/>
  <c r="H663" i="1"/>
  <c r="Z662" i="1"/>
  <c r="K662" i="1"/>
  <c r="J662" i="1"/>
  <c r="H662" i="1"/>
  <c r="Z661" i="1"/>
  <c r="U661" i="1"/>
  <c r="K661" i="1"/>
  <c r="J661" i="1"/>
  <c r="M661" i="1" s="1"/>
  <c r="H661" i="1"/>
  <c r="Z660" i="1"/>
  <c r="U660" i="1"/>
  <c r="Q660" i="1"/>
  <c r="K660" i="1"/>
  <c r="J660" i="1"/>
  <c r="H660" i="1"/>
  <c r="Z659" i="1"/>
  <c r="U659" i="1"/>
  <c r="Q659" i="1"/>
  <c r="K659" i="1"/>
  <c r="J659" i="1"/>
  <c r="H659" i="1"/>
  <c r="Z658" i="1"/>
  <c r="U658" i="1"/>
  <c r="Q658" i="1"/>
  <c r="L658" i="1" s="1"/>
  <c r="M658" i="1" s="1"/>
  <c r="K658" i="1"/>
  <c r="J658" i="1"/>
  <c r="H658" i="1"/>
  <c r="Z657" i="1"/>
  <c r="U657" i="1"/>
  <c r="Q657" i="1"/>
  <c r="K657" i="1"/>
  <c r="J657" i="1"/>
  <c r="L657" i="1" s="1"/>
  <c r="M657" i="1" s="1"/>
  <c r="H657" i="1"/>
  <c r="Z656" i="1"/>
  <c r="U656" i="1"/>
  <c r="K656" i="1"/>
  <c r="J656" i="1"/>
  <c r="H656" i="1"/>
  <c r="Z655" i="1"/>
  <c r="U655" i="1"/>
  <c r="Q655" i="1"/>
  <c r="L655" i="1" s="1"/>
  <c r="K655" i="1"/>
  <c r="J655" i="1"/>
  <c r="H655" i="1"/>
  <c r="Z654" i="1"/>
  <c r="U654" i="1"/>
  <c r="K654" i="1"/>
  <c r="J654" i="1"/>
  <c r="H654" i="1"/>
  <c r="Z653" i="1"/>
  <c r="K653" i="1"/>
  <c r="J653" i="1"/>
  <c r="H653" i="1"/>
  <c r="Z652" i="1"/>
  <c r="U652" i="1"/>
  <c r="Q652" i="1"/>
  <c r="K652" i="1"/>
  <c r="J652" i="1"/>
  <c r="H652" i="1"/>
  <c r="Z651" i="1"/>
  <c r="U651" i="1"/>
  <c r="K651" i="1"/>
  <c r="J651" i="1"/>
  <c r="H651" i="1"/>
  <c r="Z650" i="1"/>
  <c r="U650" i="1"/>
  <c r="K650" i="1"/>
  <c r="J650" i="1"/>
  <c r="L650" i="1" s="1"/>
  <c r="H650" i="1"/>
  <c r="Z649" i="1"/>
  <c r="U649" i="1"/>
  <c r="Q649" i="1"/>
  <c r="K649" i="1"/>
  <c r="J649" i="1"/>
  <c r="L649" i="1" s="1"/>
  <c r="M649" i="1" s="1"/>
  <c r="H649" i="1"/>
  <c r="Z648" i="1"/>
  <c r="U648" i="1"/>
  <c r="Q648" i="1"/>
  <c r="K648" i="1"/>
  <c r="J648" i="1"/>
  <c r="L648" i="1" s="1"/>
  <c r="M648" i="1" s="1"/>
  <c r="H648" i="1"/>
  <c r="Z647" i="1"/>
  <c r="U647" i="1"/>
  <c r="L647" i="1"/>
  <c r="M647" i="1" s="1"/>
  <c r="K647" i="1"/>
  <c r="J647" i="1"/>
  <c r="H647" i="1"/>
  <c r="Z646" i="1"/>
  <c r="U646" i="1"/>
  <c r="K646" i="1"/>
  <c r="J646" i="1"/>
  <c r="H646" i="1"/>
  <c r="Z645" i="1"/>
  <c r="U645" i="1"/>
  <c r="M645" i="1" s="1"/>
  <c r="H645" i="1"/>
  <c r="Z644" i="1"/>
  <c r="U644" i="1"/>
  <c r="K644" i="1"/>
  <c r="J644" i="1"/>
  <c r="L644" i="1" s="1"/>
  <c r="M644" i="1" s="1"/>
  <c r="H644" i="1"/>
  <c r="Z643" i="1"/>
  <c r="U643" i="1"/>
  <c r="Q643" i="1"/>
  <c r="K643" i="1"/>
  <c r="J643" i="1"/>
  <c r="H643" i="1"/>
  <c r="Z642" i="1"/>
  <c r="K642" i="1"/>
  <c r="J642" i="1"/>
  <c r="H642" i="1"/>
  <c r="Z641" i="1"/>
  <c r="U641" i="1"/>
  <c r="Q641" i="1"/>
  <c r="H641" i="1"/>
  <c r="Z640" i="1"/>
  <c r="U640" i="1"/>
  <c r="H640" i="1"/>
  <c r="Z639" i="1"/>
  <c r="U639" i="1"/>
  <c r="Q639" i="1"/>
  <c r="L639" i="1"/>
  <c r="M639" i="1" s="1" a="1"/>
  <c r="M639" i="1" s="1"/>
  <c r="K639" i="1"/>
  <c r="J639" i="1"/>
  <c r="H639" i="1"/>
  <c r="Z638" i="1"/>
  <c r="U638" i="1"/>
  <c r="K638" i="1"/>
  <c r="J638" i="1"/>
  <c r="H638" i="1"/>
  <c r="Z637" i="1"/>
  <c r="U637" i="1"/>
  <c r="K637" i="1"/>
  <c r="J637" i="1"/>
  <c r="H637" i="1"/>
  <c r="Z636" i="1"/>
  <c r="U636" i="1"/>
  <c r="K636" i="1"/>
  <c r="J636" i="1"/>
  <c r="L636" i="1" s="1"/>
  <c r="M636" i="1" s="1"/>
  <c r="H636" i="1"/>
  <c r="Z635" i="1"/>
  <c r="U635" i="1"/>
  <c r="K635" i="1"/>
  <c r="J635" i="1"/>
  <c r="L635" i="1" s="1"/>
  <c r="M635" i="1" s="1"/>
  <c r="H635" i="1"/>
  <c r="Z634" i="1"/>
  <c r="U634" i="1"/>
  <c r="H634" i="1"/>
  <c r="Z633" i="1"/>
  <c r="U633" i="1"/>
  <c r="Q633" i="1"/>
  <c r="K633" i="1"/>
  <c r="J633" i="1"/>
  <c r="L633" i="1" s="1"/>
  <c r="M633" i="1" s="1"/>
  <c r="H633" i="1"/>
  <c r="Z632" i="1"/>
  <c r="U632" i="1"/>
  <c r="K632" i="1"/>
  <c r="J632" i="1"/>
  <c r="L632" i="1" s="1"/>
  <c r="H632" i="1"/>
  <c r="Z631" i="1"/>
  <c r="U631" i="1"/>
  <c r="M631" i="1"/>
  <c r="K631" i="1"/>
  <c r="J631" i="1"/>
  <c r="H631" i="1"/>
  <c r="Z630" i="1"/>
  <c r="U630" i="1"/>
  <c r="K630" i="1"/>
  <c r="J630" i="1"/>
  <c r="H630" i="1"/>
  <c r="Z629" i="1"/>
  <c r="U629" i="1"/>
  <c r="K629" i="1"/>
  <c r="J629" i="1"/>
  <c r="H629" i="1"/>
  <c r="Z628" i="1"/>
  <c r="U628" i="1"/>
  <c r="Q628" i="1"/>
  <c r="K628" i="1"/>
  <c r="J628" i="1"/>
  <c r="H628" i="1"/>
  <c r="Z627" i="1"/>
  <c r="U627" i="1"/>
  <c r="M627" i="1"/>
  <c r="H627" i="1"/>
  <c r="Z626" i="1"/>
  <c r="K626" i="1"/>
  <c r="J626" i="1"/>
  <c r="L626" i="1" s="1"/>
  <c r="H626" i="1"/>
  <c r="Z625" i="1"/>
  <c r="U625" i="1"/>
  <c r="K625" i="1"/>
  <c r="J625" i="1"/>
  <c r="H625" i="1"/>
  <c r="Z624" i="1"/>
  <c r="U624" i="1"/>
  <c r="K624" i="1"/>
  <c r="J624" i="1"/>
  <c r="H624" i="1"/>
  <c r="Z623" i="1"/>
  <c r="U623" i="1"/>
  <c r="K623" i="1"/>
  <c r="J623" i="1"/>
  <c r="L623" i="1" s="1"/>
  <c r="H623" i="1"/>
  <c r="Z622" i="1"/>
  <c r="U622" i="1"/>
  <c r="K622" i="1"/>
  <c r="J622" i="1"/>
  <c r="H622" i="1"/>
  <c r="Z621" i="1"/>
  <c r="U621" i="1"/>
  <c r="Q621" i="1"/>
  <c r="K621" i="1"/>
  <c r="J621" i="1"/>
  <c r="M621" i="1" s="1"/>
  <c r="H621" i="1"/>
  <c r="Z620" i="1"/>
  <c r="U620" i="1"/>
  <c r="Q620" i="1"/>
  <c r="L620" i="1"/>
  <c r="M620" i="1" s="1"/>
  <c r="K620" i="1"/>
  <c r="J620" i="1"/>
  <c r="H620" i="1"/>
  <c r="Z619" i="1"/>
  <c r="U619" i="1"/>
  <c r="Q619" i="1"/>
  <c r="K619" i="1"/>
  <c r="J619" i="1"/>
  <c r="H619" i="1"/>
  <c r="Z618" i="1"/>
  <c r="U618" i="1"/>
  <c r="K618" i="1"/>
  <c r="J618" i="1"/>
  <c r="H618" i="1"/>
  <c r="Z617" i="1"/>
  <c r="U617" i="1"/>
  <c r="Q617" i="1"/>
  <c r="K617" i="1"/>
  <c r="J617" i="1"/>
  <c r="H617" i="1"/>
  <c r="Z616" i="1"/>
  <c r="U616" i="1"/>
  <c r="Q616" i="1"/>
  <c r="K616" i="1"/>
  <c r="J616" i="1"/>
  <c r="H616" i="1"/>
  <c r="Z615" i="1"/>
  <c r="U615" i="1"/>
  <c r="Q615" i="1"/>
  <c r="K615" i="1"/>
  <c r="J615" i="1"/>
  <c r="H615" i="1"/>
  <c r="Z614" i="1"/>
  <c r="U614" i="1"/>
  <c r="Q614" i="1"/>
  <c r="H614" i="1"/>
  <c r="Z613" i="1"/>
  <c r="U613" i="1"/>
  <c r="Q613" i="1"/>
  <c r="K613" i="1"/>
  <c r="J613" i="1"/>
  <c r="H613" i="1"/>
  <c r="Z612" i="1"/>
  <c r="U612" i="1"/>
  <c r="Q612" i="1"/>
  <c r="K612" i="1"/>
  <c r="J612" i="1"/>
  <c r="L612" i="1" s="1"/>
  <c r="M612" i="1" s="1"/>
  <c r="H612" i="1"/>
  <c r="Z611" i="1"/>
  <c r="L611" i="1"/>
  <c r="K611" i="1"/>
  <c r="J611" i="1"/>
  <c r="H611" i="1"/>
  <c r="Z610" i="1"/>
  <c r="U610" i="1"/>
  <c r="Q610" i="1"/>
  <c r="K610" i="1"/>
  <c r="J610" i="1"/>
  <c r="L610" i="1" s="1"/>
  <c r="M610" i="1" s="1" a="1"/>
  <c r="M610" i="1" s="1"/>
  <c r="H610" i="1"/>
  <c r="Z609" i="1"/>
  <c r="U609" i="1"/>
  <c r="K609" i="1"/>
  <c r="J609" i="1"/>
  <c r="H609" i="1"/>
  <c r="Z608" i="1"/>
  <c r="U608" i="1"/>
  <c r="K608" i="1"/>
  <c r="J608" i="1"/>
  <c r="M608" i="1" s="1"/>
  <c r="H608" i="1"/>
  <c r="Z607" i="1"/>
  <c r="U607" i="1"/>
  <c r="Q607" i="1"/>
  <c r="K607" i="1"/>
  <c r="J607" i="1"/>
  <c r="L607" i="1" s="1"/>
  <c r="H607" i="1"/>
  <c r="AK606" i="1"/>
  <c r="Z606" i="1"/>
  <c r="U606" i="1"/>
  <c r="K606" i="1"/>
  <c r="J606" i="1"/>
  <c r="H606" i="1"/>
  <c r="Z605" i="1"/>
  <c r="U605" i="1"/>
  <c r="Q605" i="1"/>
  <c r="K605" i="1"/>
  <c r="J605" i="1"/>
  <c r="M605" i="1" s="1"/>
  <c r="H605" i="1"/>
  <c r="Z604" i="1"/>
  <c r="U604" i="1"/>
  <c r="Q604" i="1"/>
  <c r="H604" i="1"/>
  <c r="Z603" i="1"/>
  <c r="U603" i="1"/>
  <c r="J603" i="1"/>
  <c r="H603" i="1"/>
  <c r="Z602" i="1"/>
  <c r="J602" i="1"/>
  <c r="M602" i="1" s="1"/>
  <c r="H602" i="1"/>
  <c r="Z601" i="1"/>
  <c r="U601" i="1"/>
  <c r="Q601" i="1"/>
  <c r="K601" i="1"/>
  <c r="J601" i="1"/>
  <c r="H601" i="1"/>
  <c r="Z600" i="1"/>
  <c r="U600" i="1"/>
  <c r="J600" i="1"/>
  <c r="H600" i="1"/>
  <c r="Z599" i="1"/>
  <c r="U599" i="1"/>
  <c r="M599" i="1"/>
  <c r="H599" i="1"/>
  <c r="Z598" i="1"/>
  <c r="U598" i="1"/>
  <c r="K598" i="1"/>
  <c r="J598" i="1"/>
  <c r="Z597" i="1"/>
  <c r="U597" i="1"/>
  <c r="Q597" i="1"/>
  <c r="K597" i="1"/>
  <c r="J597" i="1"/>
  <c r="M597" i="1" s="1"/>
  <c r="H597" i="1"/>
  <c r="Z596" i="1"/>
  <c r="U596" i="1"/>
  <c r="K596" i="1"/>
  <c r="J596" i="1"/>
  <c r="L596" i="1" s="1"/>
  <c r="M596" i="1" s="1"/>
  <c r="H596" i="1"/>
  <c r="Z595" i="1"/>
  <c r="U595" i="1"/>
  <c r="Q595" i="1"/>
  <c r="K595" i="1"/>
  <c r="J595" i="1"/>
  <c r="H595" i="1"/>
  <c r="Z594" i="1"/>
  <c r="U594" i="1"/>
  <c r="H594" i="1"/>
  <c r="Z593" i="1"/>
  <c r="U593" i="1"/>
  <c r="L593" i="1"/>
  <c r="M593" i="1" s="1"/>
  <c r="K593" i="1"/>
  <c r="J593" i="1"/>
  <c r="H593" i="1"/>
  <c r="Z592" i="1"/>
  <c r="U592" i="1"/>
  <c r="K592" i="1"/>
  <c r="J592" i="1"/>
  <c r="L592" i="1" s="1"/>
  <c r="M592" i="1" s="1"/>
  <c r="H592" i="1"/>
  <c r="Z591" i="1"/>
  <c r="U591" i="1"/>
  <c r="K591" i="1"/>
  <c r="J591" i="1"/>
  <c r="H591" i="1"/>
  <c r="Z590" i="1"/>
  <c r="U590" i="1"/>
  <c r="Q590" i="1"/>
  <c r="K590" i="1"/>
  <c r="J590" i="1"/>
  <c r="H590" i="1"/>
  <c r="Z589" i="1"/>
  <c r="U589" i="1"/>
  <c r="Q589" i="1"/>
  <c r="K589" i="1"/>
  <c r="J589" i="1"/>
  <c r="H589" i="1"/>
  <c r="Z588" i="1"/>
  <c r="U588" i="1"/>
  <c r="Q588" i="1"/>
  <c r="M588" i="1"/>
  <c r="L588" i="1"/>
  <c r="K588" i="1"/>
  <c r="J588" i="1"/>
  <c r="H588" i="1"/>
  <c r="Z587" i="1"/>
  <c r="U587" i="1"/>
  <c r="Q587" i="1"/>
  <c r="K587" i="1"/>
  <c r="J587" i="1"/>
  <c r="L587" i="1" s="1"/>
  <c r="M587" i="1" s="1"/>
  <c r="H587" i="1"/>
  <c r="Z586" i="1"/>
  <c r="U586" i="1"/>
  <c r="Q586" i="1"/>
  <c r="L586" i="1"/>
  <c r="M586" i="1" s="1"/>
  <c r="K586" i="1"/>
  <c r="J586" i="1"/>
  <c r="H586" i="1"/>
  <c r="Z585" i="1"/>
  <c r="U585" i="1"/>
  <c r="Q585" i="1"/>
  <c r="K585" i="1"/>
  <c r="J585" i="1"/>
  <c r="H585" i="1"/>
  <c r="Z584" i="1"/>
  <c r="U584" i="1"/>
  <c r="Q584" i="1"/>
  <c r="K584" i="1"/>
  <c r="J584" i="1"/>
  <c r="L584" i="1" s="1"/>
  <c r="M584" i="1" s="1"/>
  <c r="H584" i="1"/>
  <c r="Z583" i="1"/>
  <c r="U583" i="1"/>
  <c r="Q583" i="1"/>
  <c r="K583" i="1"/>
  <c r="J583" i="1"/>
  <c r="M583" i="1" s="1"/>
  <c r="H583" i="1"/>
  <c r="Z582" i="1"/>
  <c r="U582" i="1"/>
  <c r="Q582" i="1"/>
  <c r="K582" i="1"/>
  <c r="J582" i="1"/>
  <c r="M582" i="1" s="1"/>
  <c r="H582" i="1"/>
  <c r="Z581" i="1"/>
  <c r="U581" i="1"/>
  <c r="M581" i="1"/>
  <c r="L581" i="1"/>
  <c r="K581" i="1"/>
  <c r="J581" i="1"/>
  <c r="H581" i="1"/>
  <c r="Z580" i="1"/>
  <c r="U580" i="1"/>
  <c r="K580" i="1"/>
  <c r="J580" i="1"/>
  <c r="H580" i="1"/>
  <c r="Z579" i="1"/>
  <c r="U579" i="1"/>
  <c r="K579" i="1"/>
  <c r="J579" i="1"/>
  <c r="L579" i="1" s="1"/>
  <c r="H579" i="1"/>
  <c r="Z578" i="1"/>
  <c r="U578" i="1"/>
  <c r="M578" i="1"/>
  <c r="K578" i="1"/>
  <c r="J578" i="1"/>
  <c r="L578" i="1" s="1"/>
  <c r="H578" i="1"/>
  <c r="Z577" i="1"/>
  <c r="U577" i="1"/>
  <c r="Q577" i="1"/>
  <c r="K577" i="1"/>
  <c r="J577" i="1"/>
  <c r="H577" i="1"/>
  <c r="Z576" i="1"/>
  <c r="U576" i="1"/>
  <c r="Q576" i="1"/>
  <c r="M576" i="1"/>
  <c r="L576" i="1"/>
  <c r="K576" i="1"/>
  <c r="J576" i="1"/>
  <c r="H576" i="1"/>
  <c r="Z575" i="1"/>
  <c r="U575" i="1"/>
  <c r="Q575" i="1"/>
  <c r="M575" i="1"/>
  <c r="H575" i="1"/>
  <c r="Z574" i="1"/>
  <c r="U574" i="1"/>
  <c r="Q574" i="1"/>
  <c r="H574" i="1"/>
  <c r="Z573" i="1"/>
  <c r="U573" i="1"/>
  <c r="Q573" i="1"/>
  <c r="L573" i="1"/>
  <c r="K573" i="1"/>
  <c r="J573" i="1"/>
  <c r="H573" i="1"/>
  <c r="Z572" i="1"/>
  <c r="U572" i="1"/>
  <c r="Q572" i="1"/>
  <c r="K572" i="1"/>
  <c r="J572" i="1"/>
  <c r="H572" i="1"/>
  <c r="Z571" i="1"/>
  <c r="Q571" i="1"/>
  <c r="K571" i="1"/>
  <c r="J571" i="1"/>
  <c r="H571" i="1"/>
  <c r="AH570" i="1"/>
  <c r="Z570" i="1"/>
  <c r="U570" i="1"/>
  <c r="K570" i="1"/>
  <c r="J570" i="1"/>
  <c r="H570" i="1"/>
  <c r="Z569" i="1"/>
  <c r="U569" i="1"/>
  <c r="Q569" i="1"/>
  <c r="K569" i="1"/>
  <c r="J569" i="1"/>
  <c r="H569" i="1"/>
  <c r="Z568" i="1"/>
  <c r="U568" i="1"/>
  <c r="K568" i="1"/>
  <c r="J568" i="1"/>
  <c r="H568" i="1"/>
  <c r="Z567" i="1"/>
  <c r="U567" i="1"/>
  <c r="Q567" i="1"/>
  <c r="H567" i="1"/>
  <c r="Z566" i="1"/>
  <c r="L566" i="1"/>
  <c r="M566" i="1" s="1"/>
  <c r="K566" i="1"/>
  <c r="J566" i="1"/>
  <c r="H566" i="1"/>
  <c r="Z565" i="1"/>
  <c r="U565" i="1"/>
  <c r="Q565" i="1"/>
  <c r="K565" i="1"/>
  <c r="J565" i="1"/>
  <c r="L565" i="1" s="1"/>
  <c r="M565" i="1" s="1"/>
  <c r="H565" i="1"/>
  <c r="Z564" i="1"/>
  <c r="U564" i="1"/>
  <c r="M564" i="1" s="1"/>
  <c r="K564" i="1"/>
  <c r="J564" i="1"/>
  <c r="H564" i="1"/>
  <c r="Z563" i="1"/>
  <c r="U563" i="1"/>
  <c r="K563" i="1"/>
  <c r="J563" i="1"/>
  <c r="H563" i="1"/>
  <c r="Z562" i="1"/>
  <c r="U562" i="1"/>
  <c r="K562" i="1"/>
  <c r="J562" i="1"/>
  <c r="H562" i="1"/>
  <c r="Z561" i="1"/>
  <c r="U561" i="1"/>
  <c r="Q561" i="1"/>
  <c r="L561" i="1" s="1"/>
  <c r="M561" i="1" s="1" a="1"/>
  <c r="M561" i="1" s="1"/>
  <c r="K561" i="1"/>
  <c r="J561" i="1"/>
  <c r="H561" i="1"/>
  <c r="Z560" i="1"/>
  <c r="U560" i="1"/>
  <c r="Q560" i="1"/>
  <c r="K560" i="1"/>
  <c r="J560" i="1"/>
  <c r="M560" i="1" s="1"/>
  <c r="H560" i="1"/>
  <c r="Z559" i="1"/>
  <c r="U559" i="1"/>
  <c r="Q559" i="1"/>
  <c r="L559" i="1" s="1"/>
  <c r="K559" i="1"/>
  <c r="J559" i="1"/>
  <c r="M559" i="1" s="1"/>
  <c r="H559" i="1"/>
  <c r="Z558" i="1"/>
  <c r="U558" i="1"/>
  <c r="Q558" i="1"/>
  <c r="L558" i="1"/>
  <c r="M558" i="1" s="1"/>
  <c r="K558" i="1"/>
  <c r="J558" i="1"/>
  <c r="H558" i="1"/>
  <c r="Z557" i="1"/>
  <c r="U557" i="1"/>
  <c r="K557" i="1"/>
  <c r="J557" i="1"/>
  <c r="H557" i="1"/>
  <c r="Z556" i="1"/>
  <c r="U556" i="1"/>
  <c r="K556" i="1"/>
  <c r="J556" i="1"/>
  <c r="H556" i="1"/>
  <c r="Z555" i="1"/>
  <c r="U555" i="1"/>
  <c r="K555" i="1"/>
  <c r="J555" i="1"/>
  <c r="L555" i="1" s="1"/>
  <c r="M555" i="1" s="1"/>
  <c r="H555" i="1"/>
  <c r="Z554" i="1"/>
  <c r="U554" i="1"/>
  <c r="Q554" i="1"/>
  <c r="K554" i="1"/>
  <c r="J554" i="1"/>
  <c r="H554" i="1"/>
  <c r="Z553" i="1"/>
  <c r="U553" i="1"/>
  <c r="Q553" i="1"/>
  <c r="H553" i="1"/>
  <c r="Z552" i="1"/>
  <c r="U552" i="1"/>
  <c r="K552" i="1"/>
  <c r="J552" i="1"/>
  <c r="H552" i="1"/>
  <c r="Z551" i="1"/>
  <c r="U551" i="1"/>
  <c r="K551" i="1"/>
  <c r="J551" i="1"/>
  <c r="L551" i="1" s="1"/>
  <c r="H551" i="1"/>
  <c r="Z550" i="1"/>
  <c r="U550" i="1"/>
  <c r="K550" i="1"/>
  <c r="J550" i="1"/>
  <c r="L550" i="1" s="1"/>
  <c r="M550" i="1" s="1"/>
  <c r="H550" i="1"/>
  <c r="Z549" i="1"/>
  <c r="U549" i="1"/>
  <c r="K549" i="1"/>
  <c r="J549" i="1"/>
  <c r="H549" i="1"/>
  <c r="Z548" i="1"/>
  <c r="U548" i="1"/>
  <c r="M548" i="1"/>
  <c r="K548" i="1"/>
  <c r="J548" i="1"/>
  <c r="L548" i="1" s="1"/>
  <c r="H548" i="1"/>
  <c r="Z547" i="1"/>
  <c r="U547" i="1"/>
  <c r="K547" i="1"/>
  <c r="J547" i="1"/>
  <c r="L547" i="1" s="1"/>
  <c r="M547" i="1" s="1"/>
  <c r="H547" i="1"/>
  <c r="Z546" i="1"/>
  <c r="U546" i="1"/>
  <c r="K546" i="1"/>
  <c r="J546" i="1"/>
  <c r="H546" i="1"/>
  <c r="Z545" i="1"/>
  <c r="U545" i="1"/>
  <c r="Q545" i="1"/>
  <c r="H545" i="1"/>
  <c r="Z544" i="1"/>
  <c r="U544" i="1"/>
  <c r="Q544" i="1"/>
  <c r="K544" i="1"/>
  <c r="J544" i="1"/>
  <c r="M544" i="1" s="1"/>
  <c r="H544" i="1"/>
  <c r="Z543" i="1"/>
  <c r="U543" i="1"/>
  <c r="K543" i="1"/>
  <c r="J543" i="1"/>
  <c r="L543" i="1" s="1"/>
  <c r="M543" i="1" s="1"/>
  <c r="H543" i="1"/>
  <c r="Z542" i="1"/>
  <c r="U542" i="1"/>
  <c r="L542" i="1"/>
  <c r="M542" i="1" s="1"/>
  <c r="K542" i="1"/>
  <c r="J542" i="1"/>
  <c r="H542" i="1"/>
  <c r="Z541" i="1"/>
  <c r="U541" i="1"/>
  <c r="K541" i="1"/>
  <c r="J541" i="1"/>
  <c r="H541" i="1"/>
  <c r="Z540" i="1"/>
  <c r="U540" i="1"/>
  <c r="K540" i="1"/>
  <c r="J540" i="1"/>
  <c r="M540" i="1" s="1"/>
  <c r="H540" i="1"/>
  <c r="Z539" i="1"/>
  <c r="U539" i="1"/>
  <c r="L539" i="1"/>
  <c r="M539" i="1" s="1"/>
  <c r="K539" i="1"/>
  <c r="J539" i="1"/>
  <c r="H539" i="1"/>
  <c r="Z538" i="1"/>
  <c r="U538" i="1"/>
  <c r="K538" i="1"/>
  <c r="J538" i="1"/>
  <c r="L538" i="1" s="1"/>
  <c r="H538" i="1"/>
  <c r="Z537" i="1"/>
  <c r="U537" i="1"/>
  <c r="K537" i="1"/>
  <c r="J537" i="1"/>
  <c r="H537" i="1"/>
  <c r="Z536" i="1"/>
  <c r="U536" i="1"/>
  <c r="K536" i="1"/>
  <c r="J536" i="1"/>
  <c r="H536" i="1"/>
  <c r="Z535" i="1"/>
  <c r="U535" i="1"/>
  <c r="K535" i="1"/>
  <c r="J535" i="1"/>
  <c r="M535" i="1" s="1"/>
  <c r="H535" i="1"/>
  <c r="Z534" i="1"/>
  <c r="U534" i="1"/>
  <c r="Q534" i="1"/>
  <c r="L534" i="1" s="1"/>
  <c r="K534" i="1"/>
  <c r="J534" i="1"/>
  <c r="M534" i="1" s="1"/>
  <c r="H534" i="1"/>
  <c r="Z533" i="1"/>
  <c r="U533" i="1"/>
  <c r="Q533" i="1"/>
  <c r="L533" i="1" s="1"/>
  <c r="M533" i="1"/>
  <c r="K533" i="1"/>
  <c r="J533" i="1"/>
  <c r="H533" i="1"/>
  <c r="Z532" i="1"/>
  <c r="U532" i="1"/>
  <c r="Q532" i="1"/>
  <c r="H532" i="1"/>
  <c r="Z531" i="1"/>
  <c r="U531" i="1"/>
  <c r="Q531" i="1"/>
  <c r="L531" i="1"/>
  <c r="K531" i="1"/>
  <c r="J531" i="1"/>
  <c r="H531" i="1"/>
  <c r="Z530" i="1"/>
  <c r="U530" i="1"/>
  <c r="Q530" i="1"/>
  <c r="L530" i="1" s="1"/>
  <c r="K530" i="1"/>
  <c r="J530" i="1"/>
  <c r="H530" i="1"/>
  <c r="Z529" i="1"/>
  <c r="U529" i="1"/>
  <c r="Q529" i="1"/>
  <c r="L529" i="1"/>
  <c r="M529" i="1" s="1"/>
  <c r="K529" i="1"/>
  <c r="J529" i="1"/>
  <c r="H529" i="1"/>
  <c r="Z528" i="1"/>
  <c r="U528" i="1"/>
  <c r="Q528" i="1"/>
  <c r="K528" i="1"/>
  <c r="J528" i="1"/>
  <c r="H528" i="1"/>
  <c r="Z527" i="1"/>
  <c r="U527" i="1"/>
  <c r="Q527" i="1"/>
  <c r="K527" i="1"/>
  <c r="J527" i="1"/>
  <c r="H527" i="1"/>
  <c r="Z526" i="1"/>
  <c r="U526" i="1"/>
  <c r="Q526" i="1"/>
  <c r="K526" i="1"/>
  <c r="J526" i="1"/>
  <c r="H526" i="1"/>
  <c r="Z525" i="1"/>
  <c r="U525" i="1"/>
  <c r="K525" i="1"/>
  <c r="J525" i="1"/>
  <c r="H525" i="1"/>
  <c r="Z524" i="1"/>
  <c r="U524" i="1"/>
  <c r="K524" i="1"/>
  <c r="J524" i="1"/>
  <c r="L524" i="1" s="1"/>
  <c r="M524" i="1" s="1"/>
  <c r="H524" i="1"/>
  <c r="Z523" i="1"/>
  <c r="U523" i="1"/>
  <c r="K523" i="1"/>
  <c r="J523" i="1"/>
  <c r="H523" i="1"/>
  <c r="Z522" i="1"/>
  <c r="U522" i="1"/>
  <c r="K522" i="1"/>
  <c r="J522" i="1"/>
  <c r="M522" i="1" s="1"/>
  <c r="H522" i="1"/>
  <c r="Z521" i="1"/>
  <c r="U521" i="1"/>
  <c r="K521" i="1"/>
  <c r="J521" i="1"/>
  <c r="L521" i="1" s="1"/>
  <c r="H521" i="1"/>
  <c r="Z520" i="1"/>
  <c r="U520" i="1"/>
  <c r="Q520" i="1"/>
  <c r="K520" i="1"/>
  <c r="J520" i="1"/>
  <c r="M520" i="1" s="1"/>
  <c r="H520" i="1"/>
  <c r="Z519" i="1"/>
  <c r="U519" i="1"/>
  <c r="Q519" i="1"/>
  <c r="K519" i="1"/>
  <c r="J519" i="1"/>
  <c r="L519" i="1" s="1"/>
  <c r="M519" i="1" s="1" a="1"/>
  <c r="M519" i="1" s="1"/>
  <c r="H519" i="1"/>
  <c r="Z518" i="1"/>
  <c r="U518" i="1"/>
  <c r="Q518" i="1"/>
  <c r="K518" i="1"/>
  <c r="J518" i="1"/>
  <c r="H518" i="1"/>
  <c r="Z517" i="1"/>
  <c r="U517" i="1"/>
  <c r="Q517" i="1"/>
  <c r="K517" i="1"/>
  <c r="J517" i="1"/>
  <c r="M517" i="1" s="1"/>
  <c r="H517" i="1"/>
  <c r="Z516" i="1"/>
  <c r="U516" i="1"/>
  <c r="Q516" i="1"/>
  <c r="L516" i="1" s="1"/>
  <c r="M516" i="1"/>
  <c r="K516" i="1"/>
  <c r="H516" i="1"/>
  <c r="Z515" i="1"/>
  <c r="U515" i="1"/>
  <c r="Q515" i="1"/>
  <c r="K515" i="1"/>
  <c r="J515" i="1"/>
  <c r="M515" i="1" s="1"/>
  <c r="H515" i="1"/>
  <c r="Z514" i="1"/>
  <c r="U514" i="1"/>
  <c r="K514" i="1"/>
  <c r="J514" i="1"/>
  <c r="H514" i="1"/>
  <c r="Z513" i="1"/>
  <c r="U513" i="1"/>
  <c r="Q513" i="1"/>
  <c r="K513" i="1"/>
  <c r="J513" i="1"/>
  <c r="M513" i="1" s="1"/>
  <c r="H513" i="1"/>
  <c r="Z512" i="1"/>
  <c r="U512" i="1"/>
  <c r="K512" i="1"/>
  <c r="J512" i="1"/>
  <c r="L512" i="1" s="1"/>
  <c r="M512" i="1" s="1"/>
  <c r="H512" i="1"/>
  <c r="Z511" i="1"/>
  <c r="U511" i="1"/>
  <c r="K511" i="1"/>
  <c r="J511" i="1"/>
  <c r="H511" i="1"/>
  <c r="Z510" i="1"/>
  <c r="U510" i="1"/>
  <c r="M510" i="1"/>
  <c r="L510" i="1"/>
  <c r="K510" i="1"/>
  <c r="H510" i="1"/>
  <c r="Z509" i="1"/>
  <c r="U509" i="1"/>
  <c r="K509" i="1"/>
  <c r="J509" i="1"/>
  <c r="H509" i="1"/>
  <c r="Z508" i="1"/>
  <c r="U508" i="1"/>
  <c r="M508" i="1"/>
  <c r="H508" i="1"/>
  <c r="Z507" i="1"/>
  <c r="U507" i="1"/>
  <c r="Q507" i="1"/>
  <c r="H507" i="1"/>
  <c r="Z506" i="1"/>
  <c r="U506" i="1"/>
  <c r="Q506" i="1"/>
  <c r="M506" i="1"/>
  <c r="H506" i="1"/>
  <c r="Z505" i="1"/>
  <c r="U505" i="1"/>
  <c r="Q505" i="1"/>
  <c r="K505" i="1"/>
  <c r="J505" i="1"/>
  <c r="M505" i="1" s="1"/>
  <c r="H505" i="1"/>
  <c r="Z504" i="1"/>
  <c r="U504" i="1"/>
  <c r="K504" i="1"/>
  <c r="J504" i="1"/>
  <c r="H504" i="1"/>
  <c r="Z503" i="1"/>
  <c r="U503" i="1"/>
  <c r="K503" i="1"/>
  <c r="J503" i="1"/>
  <c r="L503" i="1" s="1"/>
  <c r="M503" i="1" s="1"/>
  <c r="H503" i="1"/>
  <c r="Z502" i="1"/>
  <c r="X502" i="1"/>
  <c r="U502" i="1"/>
  <c r="Q502" i="1"/>
  <c r="K502" i="1"/>
  <c r="J502" i="1"/>
  <c r="H502" i="1"/>
  <c r="Z501" i="1"/>
  <c r="U501" i="1"/>
  <c r="Q501" i="1"/>
  <c r="L501" i="1" s="1"/>
  <c r="K501" i="1"/>
  <c r="J501" i="1"/>
  <c r="H501" i="1"/>
  <c r="Z500" i="1"/>
  <c r="U500" i="1"/>
  <c r="K500" i="1"/>
  <c r="J500" i="1"/>
  <c r="H500" i="1"/>
  <c r="Z499" i="1"/>
  <c r="U499" i="1"/>
  <c r="Q499" i="1"/>
  <c r="L499" i="1" s="1"/>
  <c r="K499" i="1"/>
  <c r="J499" i="1"/>
  <c r="H499" i="1"/>
  <c r="Z498" i="1"/>
  <c r="U498" i="1"/>
  <c r="M498" i="1"/>
  <c r="K498" i="1"/>
  <c r="J498" i="1"/>
  <c r="L498" i="1" s="1"/>
  <c r="H498" i="1"/>
  <c r="Z497" i="1"/>
  <c r="U497" i="1"/>
  <c r="Q497" i="1"/>
  <c r="K497" i="1"/>
  <c r="J497" i="1"/>
  <c r="L497" i="1" s="1"/>
  <c r="M497" i="1" s="1"/>
  <c r="H497" i="1"/>
  <c r="Z496" i="1"/>
  <c r="U496" i="1"/>
  <c r="Q496" i="1"/>
  <c r="K496" i="1"/>
  <c r="J496" i="1"/>
  <c r="H496" i="1"/>
  <c r="Z495" i="1"/>
  <c r="K495" i="1"/>
  <c r="J495" i="1"/>
  <c r="H495" i="1"/>
  <c r="Z494" i="1"/>
  <c r="U494" i="1"/>
  <c r="L494" i="1"/>
  <c r="M494" i="1" s="1"/>
  <c r="K494" i="1"/>
  <c r="J494" i="1"/>
  <c r="H494" i="1"/>
  <c r="Z493" i="1"/>
  <c r="U493" i="1"/>
  <c r="K493" i="1"/>
  <c r="J493" i="1"/>
  <c r="L493" i="1" s="1"/>
  <c r="M493" i="1" s="1"/>
  <c r="H493" i="1"/>
  <c r="Z492" i="1"/>
  <c r="U492" i="1"/>
  <c r="K492" i="1"/>
  <c r="J492" i="1"/>
  <c r="L492" i="1" s="1"/>
  <c r="H492" i="1"/>
  <c r="Z491" i="1"/>
  <c r="U491" i="1"/>
  <c r="Q491" i="1"/>
  <c r="K491" i="1"/>
  <c r="J491" i="1"/>
  <c r="H491" i="1"/>
  <c r="Z490" i="1"/>
  <c r="U490" i="1"/>
  <c r="Q490" i="1"/>
  <c r="L490" i="1" s="1"/>
  <c r="M490" i="1"/>
  <c r="K490" i="1"/>
  <c r="J490" i="1"/>
  <c r="H490" i="1"/>
  <c r="Z489" i="1"/>
  <c r="U489" i="1"/>
  <c r="K489" i="1"/>
  <c r="J489" i="1"/>
  <c r="H489" i="1"/>
  <c r="Z488" i="1"/>
  <c r="U488" i="1"/>
  <c r="K488" i="1"/>
  <c r="J488" i="1"/>
  <c r="L488" i="1" s="1"/>
  <c r="M488" i="1" s="1"/>
  <c r="H488" i="1"/>
  <c r="Z487" i="1"/>
  <c r="U487" i="1"/>
  <c r="Q487" i="1"/>
  <c r="J487" i="1"/>
  <c r="M487" i="1" s="1"/>
  <c r="H487" i="1"/>
  <c r="Z486" i="1"/>
  <c r="U486" i="1"/>
  <c r="H486" i="1"/>
  <c r="Z485" i="1"/>
  <c r="U485" i="1"/>
  <c r="L485" i="1"/>
  <c r="K485" i="1"/>
  <c r="J485" i="1"/>
  <c r="H485" i="1"/>
  <c r="Z484" i="1"/>
  <c r="U484" i="1"/>
  <c r="L484" i="1"/>
  <c r="K484" i="1"/>
  <c r="J484" i="1"/>
  <c r="M484" i="1" s="1"/>
  <c r="H484" i="1"/>
  <c r="Z483" i="1"/>
  <c r="U483" i="1"/>
  <c r="K483" i="1"/>
  <c r="J483" i="1"/>
  <c r="L483" i="1" s="1"/>
  <c r="H483" i="1"/>
  <c r="Z482" i="1"/>
  <c r="U482" i="1"/>
  <c r="K482" i="1"/>
  <c r="J482" i="1"/>
  <c r="M482" i="1" s="1"/>
  <c r="H482" i="1"/>
  <c r="Z481" i="1"/>
  <c r="U481" i="1"/>
  <c r="K481" i="1"/>
  <c r="J481" i="1"/>
  <c r="M481" i="1" s="1"/>
  <c r="H481" i="1"/>
  <c r="Z480" i="1"/>
  <c r="U480" i="1"/>
  <c r="Q480" i="1"/>
  <c r="K480" i="1"/>
  <c r="J480" i="1"/>
  <c r="H480" i="1"/>
  <c r="Z479" i="1"/>
  <c r="U479" i="1"/>
  <c r="Q479" i="1"/>
  <c r="H479" i="1"/>
  <c r="Z478" i="1"/>
  <c r="K478" i="1"/>
  <c r="J478" i="1"/>
  <c r="M478" i="1" s="1"/>
  <c r="H478" i="1"/>
  <c r="Z477" i="1"/>
  <c r="K477" i="1"/>
  <c r="J477" i="1"/>
  <c r="H477" i="1"/>
  <c r="Z476" i="1"/>
  <c r="K476" i="1"/>
  <c r="J476" i="1"/>
  <c r="M476" i="1" s="1"/>
  <c r="H476" i="1"/>
  <c r="Z475" i="1"/>
  <c r="K475" i="1"/>
  <c r="J475" i="1"/>
  <c r="M475" i="1" s="1"/>
  <c r="H475" i="1"/>
  <c r="Z474" i="1"/>
  <c r="U474" i="1"/>
  <c r="K474" i="1"/>
  <c r="J474" i="1"/>
  <c r="H474" i="1"/>
  <c r="Z473" i="1"/>
  <c r="U473" i="1"/>
  <c r="K473" i="1"/>
  <c r="J473" i="1"/>
  <c r="H473" i="1"/>
  <c r="Z472" i="1"/>
  <c r="U472" i="1"/>
  <c r="K472" i="1"/>
  <c r="J472" i="1"/>
  <c r="H472" i="1"/>
  <c r="Z471" i="1"/>
  <c r="U471" i="1"/>
  <c r="L471" i="1"/>
  <c r="M471" i="1" s="1"/>
  <c r="K471" i="1"/>
  <c r="J471" i="1"/>
  <c r="H471" i="1"/>
  <c r="Z470" i="1"/>
  <c r="U470" i="1"/>
  <c r="L470" i="1"/>
  <c r="K470" i="1"/>
  <c r="J470" i="1"/>
  <c r="H470" i="1"/>
  <c r="Z469" i="1"/>
  <c r="U469" i="1"/>
  <c r="K469" i="1"/>
  <c r="J469" i="1"/>
  <c r="L469" i="1" s="1"/>
  <c r="H469" i="1"/>
  <c r="Z468" i="1"/>
  <c r="U468" i="1"/>
  <c r="J468" i="1"/>
  <c r="L468" i="1" s="1"/>
  <c r="M468" i="1" s="1" a="1"/>
  <c r="M468" i="1" s="1"/>
  <c r="H468" i="1"/>
  <c r="Z467" i="1"/>
  <c r="U467" i="1"/>
  <c r="Q467" i="1"/>
  <c r="H467" i="1"/>
  <c r="Z466" i="1"/>
  <c r="U466" i="1"/>
  <c r="K466" i="1"/>
  <c r="J466" i="1"/>
  <c r="H466" i="1"/>
  <c r="Z465" i="1"/>
  <c r="U465" i="1"/>
  <c r="M465" i="1" s="1" a="1"/>
  <c r="M465" i="1" s="1"/>
  <c r="H465" i="1"/>
  <c r="Z464" i="1"/>
  <c r="U464" i="1"/>
  <c r="M464" i="1"/>
  <c r="K464" i="1"/>
  <c r="J464" i="1"/>
  <c r="H464" i="1"/>
  <c r="Z463" i="1"/>
  <c r="U463" i="1"/>
  <c r="Q463" i="1"/>
  <c r="K463" i="1"/>
  <c r="J463" i="1"/>
  <c r="L463" i="1" s="1"/>
  <c r="H463" i="1"/>
  <c r="Z462" i="1"/>
  <c r="U462" i="1"/>
  <c r="H462" i="1"/>
  <c r="Z461" i="1"/>
  <c r="U461" i="1"/>
  <c r="H461" i="1"/>
  <c r="Z460" i="1"/>
  <c r="U460" i="1"/>
  <c r="H460" i="1"/>
  <c r="Z459" i="1"/>
  <c r="U459" i="1"/>
  <c r="H459" i="1"/>
  <c r="Z458" i="1"/>
  <c r="U458" i="1"/>
  <c r="Q458" i="1"/>
  <c r="L458" i="1"/>
  <c r="K458" i="1"/>
  <c r="J458" i="1"/>
  <c r="H458" i="1"/>
  <c r="Z457" i="1"/>
  <c r="U457" i="1"/>
  <c r="H457" i="1"/>
  <c r="Z456" i="1"/>
  <c r="K456" i="1"/>
  <c r="J456" i="1"/>
  <c r="L456" i="1" s="1"/>
  <c r="M456" i="1" s="1"/>
  <c r="H456" i="1"/>
  <c r="Z455" i="1"/>
  <c r="U455" i="1"/>
  <c r="K455" i="1"/>
  <c r="J455" i="1"/>
  <c r="H455" i="1"/>
  <c r="Z454" i="1"/>
  <c r="U454" i="1"/>
  <c r="K454" i="1"/>
  <c r="J454" i="1"/>
  <c r="H454" i="1"/>
  <c r="Z453" i="1"/>
  <c r="U453" i="1"/>
  <c r="K453" i="1"/>
  <c r="J453" i="1"/>
  <c r="H453" i="1"/>
  <c r="Z452" i="1"/>
  <c r="U452" i="1"/>
  <c r="L452" i="1"/>
  <c r="M452" i="1" s="1"/>
  <c r="K452" i="1"/>
  <c r="J452" i="1"/>
  <c r="H452" i="1"/>
  <c r="Z451" i="1"/>
  <c r="U451" i="1"/>
  <c r="K451" i="1"/>
  <c r="J451" i="1"/>
  <c r="L451" i="1" s="1"/>
  <c r="H451" i="1"/>
  <c r="Z450" i="1"/>
  <c r="U450" i="1"/>
  <c r="Q450" i="1"/>
  <c r="K450" i="1"/>
  <c r="J450" i="1"/>
  <c r="L450" i="1" s="1"/>
  <c r="H450" i="1"/>
  <c r="Z449" i="1"/>
  <c r="U449" i="1"/>
  <c r="H449" i="1"/>
  <c r="Z448" i="1"/>
  <c r="U448" i="1"/>
  <c r="L448" i="1"/>
  <c r="M448" i="1" s="1"/>
  <c r="K448" i="1"/>
  <c r="J448" i="1"/>
  <c r="H448" i="1"/>
  <c r="Z447" i="1"/>
  <c r="U447" i="1"/>
  <c r="Q447" i="1"/>
  <c r="K447" i="1"/>
  <c r="J447" i="1"/>
  <c r="AK447" i="1" s="1"/>
  <c r="H447" i="1"/>
  <c r="Z446" i="1"/>
  <c r="U446" i="1"/>
  <c r="M446" i="1"/>
  <c r="K446" i="1"/>
  <c r="J446" i="1"/>
  <c r="H446" i="1"/>
  <c r="Z445" i="1"/>
  <c r="K445" i="1"/>
  <c r="J445" i="1"/>
  <c r="L445" i="1" s="1"/>
  <c r="M445" i="1" s="1"/>
  <c r="H445" i="1"/>
  <c r="Z444" i="1"/>
  <c r="U444" i="1"/>
  <c r="L444" i="1"/>
  <c r="M444" i="1" s="1"/>
  <c r="K444" i="1"/>
  <c r="J444" i="1"/>
  <c r="H444" i="1"/>
  <c r="Z443" i="1"/>
  <c r="U443" i="1"/>
  <c r="L443" i="1"/>
  <c r="M443" i="1" s="1"/>
  <c r="K443" i="1"/>
  <c r="J443" i="1"/>
  <c r="H443" i="1"/>
  <c r="Z442" i="1"/>
  <c r="U442" i="1"/>
  <c r="K442" i="1"/>
  <c r="J442" i="1"/>
  <c r="H442" i="1"/>
  <c r="Z441" i="1"/>
  <c r="U441" i="1"/>
  <c r="K441" i="1"/>
  <c r="J441" i="1"/>
  <c r="H441" i="1"/>
  <c r="Z440" i="1"/>
  <c r="U440" i="1"/>
  <c r="Q440" i="1"/>
  <c r="L440" i="1" s="1"/>
  <c r="K440" i="1"/>
  <c r="J440" i="1"/>
  <c r="H440" i="1"/>
  <c r="Z439" i="1"/>
  <c r="U439" i="1"/>
  <c r="Q439" i="1"/>
  <c r="K439" i="1"/>
  <c r="J439" i="1"/>
  <c r="L439" i="1" s="1"/>
  <c r="M439" i="1" s="1"/>
  <c r="H439" i="1"/>
  <c r="Z438" i="1"/>
  <c r="U438" i="1"/>
  <c r="J438" i="1"/>
  <c r="H438" i="1"/>
  <c r="Z437" i="1"/>
  <c r="U437" i="1"/>
  <c r="L437" i="1"/>
  <c r="J437" i="1"/>
  <c r="H437" i="1"/>
  <c r="Z436" i="1"/>
  <c r="U436" i="1"/>
  <c r="K436" i="1"/>
  <c r="J436" i="1"/>
  <c r="H436" i="1"/>
  <c r="Z435" i="1"/>
  <c r="U435" i="1"/>
  <c r="Q435" i="1"/>
  <c r="K435" i="1"/>
  <c r="J435" i="1"/>
  <c r="H435" i="1"/>
  <c r="Z434" i="1"/>
  <c r="U434" i="1"/>
  <c r="K434" i="1"/>
  <c r="J434" i="1"/>
  <c r="H434" i="1"/>
  <c r="Z433" i="1"/>
  <c r="U433" i="1"/>
  <c r="K433" i="1"/>
  <c r="J433" i="1"/>
  <c r="H433" i="1"/>
  <c r="Z432" i="1"/>
  <c r="U432" i="1"/>
  <c r="K432" i="1"/>
  <c r="J432" i="1"/>
  <c r="H432" i="1"/>
  <c r="Z431" i="1"/>
  <c r="U431" i="1"/>
  <c r="K431" i="1"/>
  <c r="J431" i="1"/>
  <c r="H431" i="1"/>
  <c r="Z430" i="1"/>
  <c r="U430" i="1"/>
  <c r="K430" i="1"/>
  <c r="J430" i="1"/>
  <c r="L430" i="1" s="1"/>
  <c r="M430" i="1" s="1"/>
  <c r="H430" i="1"/>
  <c r="Z429" i="1"/>
  <c r="U429" i="1"/>
  <c r="K429" i="1"/>
  <c r="J429" i="1"/>
  <c r="H429" i="1"/>
  <c r="Z428" i="1"/>
  <c r="U428" i="1"/>
  <c r="Q428" i="1"/>
  <c r="K428" i="1"/>
  <c r="J428" i="1"/>
  <c r="H428" i="1"/>
  <c r="Z427" i="1"/>
  <c r="U427" i="1"/>
  <c r="K427" i="1"/>
  <c r="J427" i="1"/>
  <c r="L427" i="1" s="1"/>
  <c r="H427" i="1"/>
  <c r="Z426" i="1"/>
  <c r="U426" i="1"/>
  <c r="M426" i="1" s="1"/>
  <c r="K426" i="1"/>
  <c r="J426" i="1"/>
  <c r="L426" i="1" s="1"/>
  <c r="H426" i="1"/>
  <c r="Z425" i="1"/>
  <c r="U425" i="1"/>
  <c r="K425" i="1"/>
  <c r="J425" i="1"/>
  <c r="H425" i="1"/>
  <c r="Z424" i="1"/>
  <c r="U424" i="1"/>
  <c r="K424" i="1"/>
  <c r="J424" i="1"/>
  <c r="H424" i="1"/>
  <c r="Z423" i="1"/>
  <c r="U423" i="1"/>
  <c r="K423" i="1"/>
  <c r="J423" i="1"/>
  <c r="L423" i="1" s="1"/>
  <c r="H423" i="1"/>
  <c r="Z422" i="1"/>
  <c r="U422" i="1"/>
  <c r="Q422" i="1"/>
  <c r="K422" i="1"/>
  <c r="J422" i="1"/>
  <c r="M422" i="1" s="1"/>
  <c r="H422" i="1"/>
  <c r="Z421" i="1"/>
  <c r="U421" i="1"/>
  <c r="K421" i="1"/>
  <c r="J421" i="1"/>
  <c r="H421" i="1"/>
  <c r="Z420" i="1"/>
  <c r="U420" i="1"/>
  <c r="Q420" i="1"/>
  <c r="M420" i="1"/>
  <c r="L420" i="1"/>
  <c r="K420" i="1"/>
  <c r="J420" i="1"/>
  <c r="H420" i="1"/>
  <c r="Z419" i="1"/>
  <c r="U419" i="1"/>
  <c r="Q419" i="1"/>
  <c r="L419" i="1"/>
  <c r="K419" i="1"/>
  <c r="J419" i="1"/>
  <c r="AG419" i="1" s="1"/>
  <c r="H419" i="1"/>
  <c r="Z418" i="1"/>
  <c r="U418" i="1"/>
  <c r="K418" i="1"/>
  <c r="J418" i="1"/>
  <c r="H418" i="1"/>
  <c r="Z417" i="1"/>
  <c r="U417" i="1"/>
  <c r="H417" i="1"/>
  <c r="Z416" i="1"/>
  <c r="U416" i="1"/>
  <c r="Q416" i="1"/>
  <c r="H416" i="1"/>
  <c r="Z415" i="1"/>
  <c r="U415" i="1"/>
  <c r="K415" i="1"/>
  <c r="J415" i="1"/>
  <c r="H415" i="1"/>
  <c r="Z414" i="1"/>
  <c r="U414" i="1"/>
  <c r="K414" i="1"/>
  <c r="J414" i="1"/>
  <c r="H414" i="1"/>
  <c r="Z413" i="1"/>
  <c r="U413" i="1"/>
  <c r="K413" i="1"/>
  <c r="J413" i="1"/>
  <c r="H413" i="1"/>
  <c r="Z412" i="1"/>
  <c r="U412" i="1"/>
  <c r="M412" i="1"/>
  <c r="H412" i="1"/>
  <c r="Z411" i="1"/>
  <c r="U411" i="1"/>
  <c r="K411" i="1"/>
  <c r="J411" i="1"/>
  <c r="L411" i="1" s="1"/>
  <c r="M411" i="1" s="1" a="1"/>
  <c r="M411" i="1" s="1"/>
  <c r="H411" i="1"/>
  <c r="Z410" i="1"/>
  <c r="U410" i="1"/>
  <c r="K410" i="1"/>
  <c r="J410" i="1"/>
  <c r="L410" i="1" s="1"/>
  <c r="H410" i="1"/>
  <c r="Z409" i="1"/>
  <c r="U409" i="1"/>
  <c r="M409" i="1"/>
  <c r="K409" i="1"/>
  <c r="J409" i="1"/>
  <c r="L409" i="1" s="1"/>
  <c r="H409" i="1"/>
  <c r="Z408" i="1"/>
  <c r="U408" i="1"/>
  <c r="Q408" i="1"/>
  <c r="L408" i="1" s="1"/>
  <c r="M408" i="1" s="1"/>
  <c r="K408" i="1"/>
  <c r="J408" i="1"/>
  <c r="H408" i="1"/>
  <c r="Z407" i="1"/>
  <c r="U407" i="1"/>
  <c r="K407" i="1"/>
  <c r="J407" i="1"/>
  <c r="L407" i="1" s="1"/>
  <c r="M407" i="1" s="1"/>
  <c r="H407" i="1"/>
  <c r="Z406" i="1"/>
  <c r="U406" i="1"/>
  <c r="K406" i="1"/>
  <c r="J406" i="1"/>
  <c r="H406" i="1"/>
  <c r="Z405" i="1"/>
  <c r="U405" i="1"/>
  <c r="L405" i="1"/>
  <c r="K405" i="1"/>
  <c r="J405" i="1"/>
  <c r="H405" i="1"/>
  <c r="Z404" i="1"/>
  <c r="U404" i="1"/>
  <c r="K404" i="1"/>
  <c r="J404" i="1"/>
  <c r="H404" i="1"/>
  <c r="Z403" i="1"/>
  <c r="U403" i="1"/>
  <c r="K403" i="1"/>
  <c r="J403" i="1"/>
  <c r="H403" i="1"/>
  <c r="Z402" i="1"/>
  <c r="U402" i="1"/>
  <c r="Q402" i="1"/>
  <c r="L402" i="1" s="1"/>
  <c r="K402" i="1"/>
  <c r="J402" i="1"/>
  <c r="H402" i="1"/>
  <c r="Z401" i="1"/>
  <c r="U401" i="1"/>
  <c r="Q401" i="1"/>
  <c r="K401" i="1"/>
  <c r="J401" i="1"/>
  <c r="L401" i="1" s="1"/>
  <c r="M401" i="1" s="1"/>
  <c r="H401" i="1"/>
  <c r="Z400" i="1"/>
  <c r="U400" i="1"/>
  <c r="K400" i="1"/>
  <c r="J400" i="1"/>
  <c r="H400" i="1"/>
  <c r="Z399" i="1"/>
  <c r="K399" i="1"/>
  <c r="J399" i="1"/>
  <c r="H399" i="1"/>
  <c r="Z398" i="1"/>
  <c r="U398" i="1"/>
  <c r="Q398" i="1"/>
  <c r="K398" i="1"/>
  <c r="J398" i="1"/>
  <c r="H398" i="1"/>
  <c r="Z397" i="1"/>
  <c r="U397" i="1"/>
  <c r="Q397" i="1"/>
  <c r="K397" i="1"/>
  <c r="J397" i="1"/>
  <c r="M397" i="1" s="1"/>
  <c r="H397" i="1"/>
  <c r="Z396" i="1"/>
  <c r="U396" i="1"/>
  <c r="Q396" i="1"/>
  <c r="K396" i="1"/>
  <c r="J396" i="1"/>
  <c r="L396" i="1" s="1"/>
  <c r="H396" i="1"/>
  <c r="Z395" i="1"/>
  <c r="U395" i="1"/>
  <c r="M395" i="1"/>
  <c r="L395" i="1"/>
  <c r="K395" i="1"/>
  <c r="J395" i="1"/>
  <c r="H395" i="1"/>
  <c r="Z394" i="1"/>
  <c r="U394" i="1"/>
  <c r="K394" i="1"/>
  <c r="J394" i="1"/>
  <c r="H394" i="1"/>
  <c r="Z393" i="1"/>
  <c r="U393" i="1"/>
  <c r="Q393" i="1"/>
  <c r="L393" i="1" s="1"/>
  <c r="K393" i="1"/>
  <c r="J393" i="1"/>
  <c r="H393" i="1"/>
  <c r="Z392" i="1"/>
  <c r="U392" i="1"/>
  <c r="L392" i="1"/>
  <c r="K392" i="1"/>
  <c r="J392" i="1"/>
  <c r="H392" i="1"/>
  <c r="Z391" i="1"/>
  <c r="U391" i="1"/>
  <c r="K391" i="1"/>
  <c r="J391" i="1"/>
  <c r="L391" i="1" s="1"/>
  <c r="M391" i="1" s="1"/>
  <c r="H391" i="1"/>
  <c r="Z390" i="1"/>
  <c r="U390" i="1"/>
  <c r="L390" i="1"/>
  <c r="K390" i="1"/>
  <c r="J390" i="1"/>
  <c r="H390" i="1"/>
  <c r="Z389" i="1"/>
  <c r="U389" i="1"/>
  <c r="Q389" i="1"/>
  <c r="K389" i="1"/>
  <c r="J389" i="1"/>
  <c r="L389" i="1" s="1"/>
  <c r="M389" i="1" s="1"/>
  <c r="H389" i="1"/>
  <c r="Z388" i="1"/>
  <c r="U388" i="1"/>
  <c r="K388" i="1"/>
  <c r="J388" i="1"/>
  <c r="H388" i="1"/>
  <c r="Z387" i="1"/>
  <c r="U387" i="1"/>
  <c r="Q387" i="1"/>
  <c r="K387" i="1"/>
  <c r="J387" i="1"/>
  <c r="M387" i="1" s="1"/>
  <c r="H387" i="1"/>
  <c r="Z386" i="1"/>
  <c r="U386" i="1"/>
  <c r="K386" i="1"/>
  <c r="J386" i="1"/>
  <c r="L386" i="1" s="1"/>
  <c r="M386" i="1" s="1" a="1"/>
  <c r="M386" i="1" s="1"/>
  <c r="H386" i="1"/>
  <c r="Z385" i="1"/>
  <c r="U385" i="1"/>
  <c r="K385" i="1"/>
  <c r="J385" i="1"/>
  <c r="H385" i="1"/>
  <c r="Z384" i="1"/>
  <c r="U384" i="1"/>
  <c r="K384" i="1"/>
  <c r="J384" i="1"/>
  <c r="L384" i="1" s="1"/>
  <c r="H384" i="1"/>
  <c r="Z383" i="1"/>
  <c r="U383" i="1"/>
  <c r="Q383" i="1"/>
  <c r="K383" i="1"/>
  <c r="J383" i="1"/>
  <c r="H383" i="1"/>
  <c r="Z382" i="1"/>
  <c r="U382" i="1"/>
  <c r="Q382" i="1"/>
  <c r="H382" i="1"/>
  <c r="Z381" i="1"/>
  <c r="U381" i="1"/>
  <c r="M381" i="1" s="1" a="1"/>
  <c r="M381" i="1" s="1"/>
  <c r="L381" i="1"/>
  <c r="K381" i="1"/>
  <c r="J381" i="1"/>
  <c r="H381" i="1"/>
  <c r="Z380" i="1"/>
  <c r="U380" i="1"/>
  <c r="K380" i="1"/>
  <c r="J380" i="1"/>
  <c r="H380" i="1"/>
  <c r="Z379" i="1"/>
  <c r="U379" i="1"/>
  <c r="M379" i="1"/>
  <c r="K379" i="1"/>
  <c r="J379" i="1"/>
  <c r="L379" i="1" s="1"/>
  <c r="H379" i="1"/>
  <c r="AH378" i="1"/>
  <c r="Z378" i="1"/>
  <c r="K378" i="1"/>
  <c r="J378" i="1"/>
  <c r="M378" i="1" s="1"/>
  <c r="H378" i="1"/>
  <c r="Z377" i="1"/>
  <c r="U377" i="1"/>
  <c r="K377" i="1"/>
  <c r="J377" i="1"/>
  <c r="H377" i="1"/>
  <c r="Z376" i="1"/>
  <c r="U376" i="1"/>
  <c r="Q376" i="1"/>
  <c r="M376" i="1"/>
  <c r="L376" i="1"/>
  <c r="K376" i="1"/>
  <c r="J376" i="1"/>
  <c r="H376" i="1"/>
  <c r="Z375" i="1"/>
  <c r="U375" i="1"/>
  <c r="K375" i="1"/>
  <c r="J375" i="1"/>
  <c r="H375" i="1"/>
  <c r="Z374" i="1"/>
  <c r="U374" i="1"/>
  <c r="K374" i="1"/>
  <c r="J374" i="1"/>
  <c r="L374" i="1" s="1"/>
  <c r="H374" i="1"/>
  <c r="Z373" i="1"/>
  <c r="U373" i="1"/>
  <c r="L373" i="1"/>
  <c r="K373" i="1"/>
  <c r="J373" i="1"/>
  <c r="M373" i="1" s="1"/>
  <c r="H373" i="1"/>
  <c r="Z372" i="1"/>
  <c r="U372" i="1"/>
  <c r="K372" i="1"/>
  <c r="J372" i="1"/>
  <c r="L372" i="1" s="1"/>
  <c r="H372" i="1"/>
  <c r="Z371" i="1"/>
  <c r="U371" i="1"/>
  <c r="L371" i="1"/>
  <c r="M371" i="1" s="1"/>
  <c r="K371" i="1"/>
  <c r="J371" i="1"/>
  <c r="H371" i="1"/>
  <c r="Z370" i="1"/>
  <c r="U370" i="1"/>
  <c r="Q370" i="1"/>
  <c r="H370" i="1"/>
  <c r="Z369" i="1"/>
  <c r="U369" i="1"/>
  <c r="Q369" i="1"/>
  <c r="K369" i="1"/>
  <c r="J369" i="1"/>
  <c r="M369" i="1" s="1"/>
  <c r="H369" i="1"/>
  <c r="Z368" i="1"/>
  <c r="X368" i="1"/>
  <c r="U368" i="1"/>
  <c r="Q368" i="1"/>
  <c r="Z367" i="1"/>
  <c r="U367" i="1"/>
  <c r="Q367" i="1"/>
  <c r="H367" i="1"/>
  <c r="Z366" i="1"/>
  <c r="U366" i="1"/>
  <c r="Q366" i="1"/>
  <c r="H366" i="1"/>
  <c r="Z365" i="1"/>
  <c r="U365" i="1"/>
  <c r="Q365" i="1"/>
  <c r="M365" i="1"/>
  <c r="L365" i="1"/>
  <c r="K365" i="1"/>
  <c r="J365" i="1"/>
  <c r="H365" i="1"/>
  <c r="Z364" i="1"/>
  <c r="U364" i="1"/>
  <c r="Q364" i="1"/>
  <c r="K364" i="1"/>
  <c r="J364" i="1"/>
  <c r="M364" i="1" s="1"/>
  <c r="H364" i="1"/>
  <c r="Z363" i="1"/>
  <c r="U363" i="1"/>
  <c r="Q363" i="1"/>
  <c r="K363" i="1"/>
  <c r="J363" i="1"/>
  <c r="H363" i="1"/>
  <c r="Z362" i="1"/>
  <c r="U362" i="1"/>
  <c r="J362" i="1"/>
  <c r="L362" i="1" s="1"/>
  <c r="M362" i="1" s="1"/>
  <c r="H362" i="1"/>
  <c r="Z361" i="1"/>
  <c r="U361" i="1"/>
  <c r="L361" i="1"/>
  <c r="J361" i="1"/>
  <c r="H361" i="1"/>
  <c r="Z360" i="1"/>
  <c r="U360" i="1"/>
  <c r="J360" i="1"/>
  <c r="L360" i="1" s="1"/>
  <c r="M360" i="1" s="1"/>
  <c r="H360" i="1"/>
  <c r="Z359" i="1"/>
  <c r="U359" i="1"/>
  <c r="H359" i="1"/>
  <c r="Z358" i="1"/>
  <c r="U358" i="1"/>
  <c r="M358" i="1"/>
  <c r="K358" i="1"/>
  <c r="J358" i="1"/>
  <c r="H358" i="1"/>
  <c r="Z357" i="1"/>
  <c r="U357" i="1"/>
  <c r="K357" i="1"/>
  <c r="J357" i="1"/>
  <c r="H357" i="1"/>
  <c r="Z356" i="1"/>
  <c r="U356" i="1"/>
  <c r="M356" i="1"/>
  <c r="L356" i="1"/>
  <c r="K356" i="1"/>
  <c r="J356" i="1"/>
  <c r="H356" i="1"/>
  <c r="Z355" i="1"/>
  <c r="U355" i="1"/>
  <c r="K355" i="1"/>
  <c r="J355" i="1"/>
  <c r="L355" i="1" s="1"/>
  <c r="M355" i="1" s="1"/>
  <c r="H355" i="1"/>
  <c r="Z354" i="1"/>
  <c r="U354" i="1"/>
  <c r="L354" i="1"/>
  <c r="M354" i="1" s="1"/>
  <c r="K354" i="1"/>
  <c r="J354" i="1"/>
  <c r="H354" i="1"/>
  <c r="Z353" i="1"/>
  <c r="U353" i="1"/>
  <c r="K353" i="1"/>
  <c r="J353" i="1"/>
  <c r="L353" i="1" s="1"/>
  <c r="M353" i="1" s="1"/>
  <c r="H353" i="1"/>
  <c r="Z352" i="1"/>
  <c r="U352" i="1"/>
  <c r="Q352" i="1"/>
  <c r="K352" i="1"/>
  <c r="J352" i="1"/>
  <c r="H352" i="1"/>
  <c r="Z351" i="1"/>
  <c r="U351" i="1"/>
  <c r="Q351" i="1"/>
  <c r="H351" i="1"/>
  <c r="Z350" i="1"/>
  <c r="U350" i="1"/>
  <c r="Q350" i="1"/>
  <c r="H350" i="1"/>
  <c r="Z349" i="1"/>
  <c r="U349" i="1"/>
  <c r="H349" i="1"/>
  <c r="Z348" i="1"/>
  <c r="U348" i="1"/>
  <c r="Q348" i="1"/>
  <c r="K348" i="1"/>
  <c r="J348" i="1"/>
  <c r="L348" i="1" s="1"/>
  <c r="H348" i="1"/>
  <c r="Z347" i="1"/>
  <c r="U347" i="1"/>
  <c r="K347" i="1"/>
  <c r="J347" i="1"/>
  <c r="H347" i="1"/>
  <c r="Z346" i="1"/>
  <c r="U346" i="1"/>
  <c r="K346" i="1"/>
  <c r="J346" i="1"/>
  <c r="H346" i="1"/>
  <c r="Z345" i="1"/>
  <c r="U345" i="1"/>
  <c r="K345" i="1"/>
  <c r="J345" i="1"/>
  <c r="H345" i="1"/>
  <c r="Z344" i="1"/>
  <c r="U344" i="1"/>
  <c r="Q344" i="1"/>
  <c r="H344" i="1"/>
  <c r="Z343" i="1"/>
  <c r="U343" i="1"/>
  <c r="Q343" i="1"/>
  <c r="H343" i="1"/>
  <c r="Z342" i="1"/>
  <c r="U342" i="1"/>
  <c r="Q342" i="1"/>
  <c r="K342" i="1"/>
  <c r="J342" i="1"/>
  <c r="H342" i="1"/>
  <c r="Z341" i="1"/>
  <c r="U341" i="1"/>
  <c r="L341" i="1"/>
  <c r="K341" i="1"/>
  <c r="J341" i="1"/>
  <c r="H341" i="1"/>
  <c r="Z340" i="1"/>
  <c r="U340" i="1"/>
  <c r="Q340" i="1"/>
  <c r="K340" i="1"/>
  <c r="J340" i="1"/>
  <c r="H340" i="1"/>
  <c r="Z339" i="1"/>
  <c r="U339" i="1"/>
  <c r="H339" i="1"/>
  <c r="Z338" i="1"/>
  <c r="U338" i="1"/>
  <c r="L338" i="1"/>
  <c r="K338" i="1"/>
  <c r="J338" i="1"/>
  <c r="H338" i="1"/>
  <c r="Z337" i="1"/>
  <c r="U337" i="1"/>
  <c r="K337" i="1"/>
  <c r="J337" i="1"/>
  <c r="H337" i="1"/>
  <c r="Z336" i="1"/>
  <c r="U336" i="1"/>
  <c r="Q336" i="1"/>
  <c r="K336" i="1"/>
  <c r="J336" i="1"/>
  <c r="H336" i="1"/>
  <c r="Z335" i="1"/>
  <c r="U335" i="1"/>
  <c r="Q335" i="1"/>
  <c r="L335" i="1" s="1"/>
  <c r="M335" i="1"/>
  <c r="K335" i="1"/>
  <c r="J335" i="1"/>
  <c r="H335" i="1"/>
  <c r="Z334" i="1"/>
  <c r="U334" i="1"/>
  <c r="Q334" i="1"/>
  <c r="K334" i="1"/>
  <c r="J334" i="1"/>
  <c r="M334" i="1" s="1"/>
  <c r="H334" i="1"/>
  <c r="Z333" i="1"/>
  <c r="U333" i="1"/>
  <c r="M333" i="1"/>
  <c r="L333" i="1"/>
  <c r="K333" i="1"/>
  <c r="J333" i="1"/>
  <c r="AH333" i="1" s="1"/>
  <c r="H333" i="1"/>
  <c r="Z332" i="1"/>
  <c r="U332" i="1"/>
  <c r="L332" i="1"/>
  <c r="M332" i="1" s="1" a="1"/>
  <c r="M332" i="1" s="1"/>
  <c r="K332" i="1"/>
  <c r="J332" i="1"/>
  <c r="H332" i="1"/>
  <c r="Z331" i="1"/>
  <c r="U331" i="1"/>
  <c r="Q331" i="1"/>
  <c r="K331" i="1"/>
  <c r="J331" i="1"/>
  <c r="M331" i="1" s="1"/>
  <c r="H331" i="1"/>
  <c r="Z330" i="1"/>
  <c r="U330" i="1"/>
  <c r="Q330" i="1"/>
  <c r="K330" i="1"/>
  <c r="J330" i="1"/>
  <c r="H330" i="1"/>
  <c r="Z329" i="1"/>
  <c r="U329" i="1"/>
  <c r="K329" i="1"/>
  <c r="J329" i="1"/>
  <c r="H329" i="1"/>
  <c r="Z328" i="1"/>
  <c r="U328" i="1"/>
  <c r="Q328" i="1"/>
  <c r="K328" i="1"/>
  <c r="J328" i="1"/>
  <c r="H328" i="1"/>
  <c r="Z327" i="1"/>
  <c r="U327" i="1"/>
  <c r="K327" i="1"/>
  <c r="J327" i="1"/>
  <c r="L327" i="1" s="1"/>
  <c r="H327" i="1"/>
  <c r="Z326" i="1"/>
  <c r="U326" i="1"/>
  <c r="K326" i="1"/>
  <c r="J326" i="1"/>
  <c r="M326" i="1" s="1"/>
  <c r="H326" i="1"/>
  <c r="Z325" i="1"/>
  <c r="U325" i="1"/>
  <c r="K325" i="1"/>
  <c r="J325" i="1"/>
  <c r="H325" i="1"/>
  <c r="Z324" i="1"/>
  <c r="U324" i="1"/>
  <c r="Q324" i="1"/>
  <c r="K324" i="1"/>
  <c r="J324" i="1"/>
  <c r="H324" i="1"/>
  <c r="Z323" i="1"/>
  <c r="U323" i="1"/>
  <c r="K323" i="1"/>
  <c r="J323" i="1"/>
  <c r="AK323" i="1" s="1"/>
  <c r="H323" i="1"/>
  <c r="Z322" i="1"/>
  <c r="U322" i="1"/>
  <c r="M322" i="1"/>
  <c r="K322" i="1"/>
  <c r="J322" i="1"/>
  <c r="L322" i="1" s="1"/>
  <c r="H322" i="1"/>
  <c r="Z321" i="1"/>
  <c r="U321" i="1"/>
  <c r="Q321" i="1"/>
  <c r="K321" i="1"/>
  <c r="J321" i="1"/>
  <c r="M321" i="1" s="1"/>
  <c r="H321" i="1"/>
  <c r="Z320" i="1"/>
  <c r="U320" i="1"/>
  <c r="K320" i="1"/>
  <c r="J320" i="1"/>
  <c r="H320" i="1"/>
  <c r="Z319" i="1"/>
  <c r="U319" i="1"/>
  <c r="K319" i="1"/>
  <c r="J319" i="1"/>
  <c r="H319" i="1"/>
  <c r="Z318" i="1"/>
  <c r="U318" i="1"/>
  <c r="K318" i="1"/>
  <c r="J318" i="1"/>
  <c r="H318" i="1"/>
  <c r="Z317" i="1"/>
  <c r="U317" i="1"/>
  <c r="Q317" i="1"/>
  <c r="H317" i="1"/>
  <c r="Z316" i="1"/>
  <c r="U316" i="1"/>
  <c r="Q316" i="1"/>
  <c r="K316" i="1"/>
  <c r="J316" i="1"/>
  <c r="M316" i="1" s="1"/>
  <c r="H316" i="1"/>
  <c r="Z315" i="1"/>
  <c r="U315" i="1"/>
  <c r="Q315" i="1"/>
  <c r="K315" i="1"/>
  <c r="J315" i="1"/>
  <c r="H315" i="1"/>
  <c r="Z314" i="1"/>
  <c r="U314" i="1"/>
  <c r="Q314" i="1"/>
  <c r="M314" i="1"/>
  <c r="L314" i="1"/>
  <c r="K314" i="1"/>
  <c r="J314" i="1"/>
  <c r="H314" i="1"/>
  <c r="Z313" i="1"/>
  <c r="U313" i="1"/>
  <c r="Q313" i="1"/>
  <c r="K313" i="1"/>
  <c r="J313" i="1"/>
  <c r="H313" i="1"/>
  <c r="Z312" i="1"/>
  <c r="U312" i="1"/>
  <c r="Q312" i="1"/>
  <c r="L312" i="1" s="1"/>
  <c r="M312" i="1"/>
  <c r="K312" i="1"/>
  <c r="J312" i="1"/>
  <c r="H312" i="1"/>
  <c r="Z311" i="1"/>
  <c r="U311" i="1"/>
  <c r="Q311" i="1"/>
  <c r="M311" i="1"/>
  <c r="L311" i="1"/>
  <c r="K311" i="1"/>
  <c r="J311" i="1"/>
  <c r="H311" i="1"/>
  <c r="Z310" i="1"/>
  <c r="U310" i="1"/>
  <c r="Q310" i="1"/>
  <c r="K310" i="1"/>
  <c r="J310" i="1"/>
  <c r="M310" i="1" s="1"/>
  <c r="H310" i="1"/>
  <c r="Z309" i="1"/>
  <c r="U309" i="1"/>
  <c r="Q309" i="1"/>
  <c r="K309" i="1"/>
  <c r="J309" i="1"/>
  <c r="M309" i="1" s="1"/>
  <c r="H309" i="1"/>
  <c r="Z308" i="1"/>
  <c r="U308" i="1"/>
  <c r="Q308" i="1"/>
  <c r="K308" i="1"/>
  <c r="J308" i="1"/>
  <c r="L308" i="1" s="1"/>
  <c r="H308" i="1"/>
  <c r="Z307" i="1"/>
  <c r="U307" i="1"/>
  <c r="K307" i="1"/>
  <c r="J307" i="1"/>
  <c r="L307" i="1" s="1"/>
  <c r="H307" i="1"/>
  <c r="Z306" i="1"/>
  <c r="U306" i="1"/>
  <c r="K306" i="1"/>
  <c r="J306" i="1"/>
  <c r="H306" i="1"/>
  <c r="Z305" i="1"/>
  <c r="U305" i="1"/>
  <c r="K305" i="1"/>
  <c r="J305" i="1"/>
  <c r="L305" i="1" s="1"/>
  <c r="M305" i="1" s="1"/>
  <c r="H305" i="1"/>
  <c r="Z304" i="1"/>
  <c r="U304" i="1"/>
  <c r="K304" i="1"/>
  <c r="J304" i="1"/>
  <c r="L304" i="1" s="1"/>
  <c r="M304" i="1" s="1"/>
  <c r="H304" i="1"/>
  <c r="Z303" i="1"/>
  <c r="U303" i="1"/>
  <c r="K303" i="1"/>
  <c r="J303" i="1"/>
  <c r="L303" i="1" s="1"/>
  <c r="M303" i="1" s="1"/>
  <c r="H303" i="1"/>
  <c r="Z302" i="1"/>
  <c r="U302" i="1"/>
  <c r="H302" i="1"/>
  <c r="Z301" i="1"/>
  <c r="U301" i="1"/>
  <c r="H301" i="1"/>
  <c r="Z300" i="1"/>
  <c r="U300" i="1"/>
  <c r="Q300" i="1"/>
  <c r="M300" i="1"/>
  <c r="K300" i="1"/>
  <c r="J300" i="1"/>
  <c r="L300" i="1" s="1"/>
  <c r="H300" i="1"/>
  <c r="Z299" i="1"/>
  <c r="U299" i="1"/>
  <c r="K299" i="1"/>
  <c r="J299" i="1"/>
  <c r="H299" i="1"/>
  <c r="Z298" i="1"/>
  <c r="U298" i="1"/>
  <c r="K298" i="1"/>
  <c r="J298" i="1"/>
  <c r="H298" i="1"/>
  <c r="Z297" i="1"/>
  <c r="U297" i="1"/>
  <c r="K297" i="1"/>
  <c r="J297" i="1"/>
  <c r="L297" i="1" s="1"/>
  <c r="M297" i="1" s="1" a="1"/>
  <c r="M297" i="1" s="1"/>
  <c r="H297" i="1"/>
  <c r="Z296" i="1"/>
  <c r="U296" i="1"/>
  <c r="M296" i="1"/>
  <c r="K296" i="1"/>
  <c r="J296" i="1"/>
  <c r="L296" i="1" s="1"/>
  <c r="H296" i="1"/>
  <c r="Z295" i="1"/>
  <c r="U295" i="1"/>
  <c r="K295" i="1"/>
  <c r="J295" i="1"/>
  <c r="L295" i="1" s="1"/>
  <c r="M295" i="1" s="1" a="1"/>
  <c r="M295" i="1" s="1"/>
  <c r="H295" i="1"/>
  <c r="Z294" i="1"/>
  <c r="U294" i="1"/>
  <c r="H294" i="1"/>
  <c r="Z293" i="1"/>
  <c r="U293" i="1"/>
  <c r="Q293" i="1"/>
  <c r="K293" i="1"/>
  <c r="J293" i="1"/>
  <c r="H293" i="1"/>
  <c r="Z292" i="1"/>
  <c r="U292" i="1"/>
  <c r="K292" i="1"/>
  <c r="J292" i="1"/>
  <c r="L292" i="1" s="1"/>
  <c r="M292" i="1" s="1"/>
  <c r="H292" i="1"/>
  <c r="Z291" i="1"/>
  <c r="U291" i="1"/>
  <c r="K291" i="1"/>
  <c r="J291" i="1"/>
  <c r="H291" i="1"/>
  <c r="Z290" i="1"/>
  <c r="U290" i="1"/>
  <c r="Q290" i="1"/>
  <c r="K290" i="1"/>
  <c r="J290" i="1"/>
  <c r="H290" i="1"/>
  <c r="Z289" i="1"/>
  <c r="U289" i="1"/>
  <c r="Q289" i="1"/>
  <c r="H289" i="1"/>
  <c r="Z288" i="1"/>
  <c r="U288" i="1"/>
  <c r="Q288" i="1"/>
  <c r="K288" i="1"/>
  <c r="J288" i="1"/>
  <c r="H288" i="1"/>
  <c r="Z287" i="1"/>
  <c r="U287" i="1"/>
  <c r="L287" i="1"/>
  <c r="K287" i="1"/>
  <c r="J287" i="1"/>
  <c r="H287" i="1"/>
  <c r="Z286" i="1"/>
  <c r="U286" i="1"/>
  <c r="K286" i="1"/>
  <c r="J286" i="1"/>
  <c r="L286" i="1" s="1"/>
  <c r="M286" i="1" s="1"/>
  <c r="H286" i="1"/>
  <c r="Z285" i="1"/>
  <c r="U285" i="1"/>
  <c r="K285" i="1"/>
  <c r="J285" i="1"/>
  <c r="H285" i="1"/>
  <c r="Z284" i="1"/>
  <c r="U284" i="1"/>
  <c r="K284" i="1"/>
  <c r="J284" i="1"/>
  <c r="L284" i="1" s="1"/>
  <c r="M284" i="1" s="1"/>
  <c r="H284" i="1"/>
  <c r="Z283" i="1"/>
  <c r="U283" i="1"/>
  <c r="K283" i="1"/>
  <c r="J283" i="1"/>
  <c r="H283" i="1"/>
  <c r="Z282" i="1"/>
  <c r="U282" i="1"/>
  <c r="L282" i="1"/>
  <c r="M282" i="1" s="1"/>
  <c r="K282" i="1"/>
  <c r="J282" i="1"/>
  <c r="H282" i="1"/>
  <c r="Z281" i="1"/>
  <c r="U281" i="1"/>
  <c r="K281" i="1"/>
  <c r="J281" i="1"/>
  <c r="H281" i="1"/>
  <c r="Z280" i="1"/>
  <c r="U280" i="1"/>
  <c r="K280" i="1"/>
  <c r="J280" i="1"/>
  <c r="M280" i="1" s="1"/>
  <c r="H280" i="1"/>
  <c r="Z279" i="1"/>
  <c r="U279" i="1"/>
  <c r="Q279" i="1"/>
  <c r="L279" i="1" s="1"/>
  <c r="K279" i="1"/>
  <c r="J279" i="1"/>
  <c r="H279" i="1"/>
  <c r="Z278" i="1"/>
  <c r="U278" i="1"/>
  <c r="L278" i="1"/>
  <c r="K278" i="1"/>
  <c r="J278" i="1"/>
  <c r="H278" i="1"/>
  <c r="Z277" i="1"/>
  <c r="U277" i="1"/>
  <c r="Q277" i="1"/>
  <c r="K277" i="1"/>
  <c r="J277" i="1"/>
  <c r="H277" i="1"/>
  <c r="Z276" i="1"/>
  <c r="U276" i="1"/>
  <c r="Q276" i="1"/>
  <c r="H276" i="1"/>
  <c r="Z275" i="1"/>
  <c r="U275" i="1"/>
  <c r="K275" i="1"/>
  <c r="J275" i="1"/>
  <c r="H275" i="1"/>
  <c r="Z274" i="1"/>
  <c r="U274" i="1"/>
  <c r="K274" i="1"/>
  <c r="J274" i="1"/>
  <c r="H274" i="1"/>
  <c r="Z273" i="1"/>
  <c r="U273" i="1"/>
  <c r="Q273" i="1"/>
  <c r="L273" i="1"/>
  <c r="K273" i="1"/>
  <c r="J273" i="1"/>
  <c r="H273" i="1"/>
  <c r="Z272" i="1"/>
  <c r="U272" i="1"/>
  <c r="Q272" i="1"/>
  <c r="K272" i="1"/>
  <c r="J272" i="1"/>
  <c r="H272" i="1"/>
  <c r="Z271" i="1"/>
  <c r="U271" i="1"/>
  <c r="K271" i="1"/>
  <c r="J271" i="1"/>
  <c r="H271" i="1"/>
  <c r="AH270" i="1"/>
  <c r="Z270" i="1"/>
  <c r="U270" i="1"/>
  <c r="K270" i="1"/>
  <c r="J270" i="1"/>
  <c r="H270" i="1"/>
  <c r="Z269" i="1"/>
  <c r="U269" i="1"/>
  <c r="K269" i="1"/>
  <c r="J269" i="1"/>
  <c r="L269" i="1" s="1"/>
  <c r="M269" i="1" s="1" a="1"/>
  <c r="M269" i="1" s="1"/>
  <c r="H269" i="1"/>
  <c r="Z268" i="1"/>
  <c r="X268" i="1"/>
  <c r="U268" i="1"/>
  <c r="H268" i="1"/>
  <c r="Z267" i="1"/>
  <c r="U267" i="1"/>
  <c r="K267" i="1"/>
  <c r="J267" i="1"/>
  <c r="H267" i="1"/>
  <c r="Z266" i="1"/>
  <c r="U266" i="1"/>
  <c r="K266" i="1"/>
  <c r="J266" i="1"/>
  <c r="L266" i="1" s="1"/>
  <c r="H266" i="1"/>
  <c r="Z265" i="1"/>
  <c r="Q265" i="1"/>
  <c r="K265" i="1"/>
  <c r="J265" i="1"/>
  <c r="M265" i="1" s="1"/>
  <c r="H265" i="1"/>
  <c r="Z264" i="1"/>
  <c r="Q264" i="1"/>
  <c r="K264" i="1"/>
  <c r="J264" i="1"/>
  <c r="M264" i="1" s="1"/>
  <c r="H264" i="1"/>
  <c r="Z263" i="1"/>
  <c r="U263" i="1"/>
  <c r="Q263" i="1"/>
  <c r="K263" i="1"/>
  <c r="J263" i="1"/>
  <c r="L263" i="1" s="1"/>
  <c r="H263" i="1"/>
  <c r="Z262" i="1"/>
  <c r="U262" i="1"/>
  <c r="K262" i="1"/>
  <c r="J262" i="1"/>
  <c r="H262" i="1"/>
  <c r="Z261" i="1"/>
  <c r="U261" i="1"/>
  <c r="K261" i="1"/>
  <c r="J261" i="1"/>
  <c r="H261" i="1"/>
  <c r="Z260" i="1"/>
  <c r="U260" i="1"/>
  <c r="K260" i="1"/>
  <c r="J260" i="1"/>
  <c r="H260" i="1"/>
  <c r="Z259" i="1"/>
  <c r="U259" i="1"/>
  <c r="M259" i="1"/>
  <c r="L259" i="1"/>
  <c r="K259" i="1"/>
  <c r="J259" i="1"/>
  <c r="H259" i="1"/>
  <c r="Z258" i="1"/>
  <c r="U258" i="1"/>
  <c r="K258" i="1"/>
  <c r="J258" i="1"/>
  <c r="M258" i="1" s="1"/>
  <c r="H258" i="1"/>
  <c r="Z257" i="1"/>
  <c r="U257" i="1"/>
  <c r="K257" i="1"/>
  <c r="J257" i="1"/>
  <c r="H257" i="1"/>
  <c r="Z256" i="1"/>
  <c r="U256" i="1"/>
  <c r="K256" i="1"/>
  <c r="J256" i="1"/>
  <c r="H256" i="1"/>
  <c r="Z255" i="1"/>
  <c r="U255" i="1"/>
  <c r="Q255" i="1"/>
  <c r="K255" i="1"/>
  <c r="J255" i="1"/>
  <c r="H255" i="1"/>
  <c r="Z254" i="1"/>
  <c r="U254" i="1"/>
  <c r="Q254" i="1"/>
  <c r="L254" i="1" s="1"/>
  <c r="M254" i="1"/>
  <c r="K254" i="1"/>
  <c r="J254" i="1"/>
  <c r="H254" i="1"/>
  <c r="Z253" i="1"/>
  <c r="U253" i="1"/>
  <c r="H253" i="1"/>
  <c r="Z252" i="1"/>
  <c r="U252" i="1"/>
  <c r="H252" i="1"/>
  <c r="Z251" i="1"/>
  <c r="U251" i="1"/>
  <c r="H251" i="1"/>
  <c r="Z250" i="1"/>
  <c r="U250" i="1"/>
  <c r="K250" i="1"/>
  <c r="J250" i="1"/>
  <c r="H250" i="1"/>
  <c r="Z249" i="1"/>
  <c r="U249" i="1"/>
  <c r="Q249" i="1"/>
  <c r="K249" i="1"/>
  <c r="J249" i="1"/>
  <c r="H249" i="1"/>
  <c r="Z248" i="1"/>
  <c r="U248" i="1"/>
  <c r="H248" i="1"/>
  <c r="Z247" i="1"/>
  <c r="X247" i="1"/>
  <c r="U247" i="1"/>
  <c r="Q247" i="1"/>
  <c r="K247" i="1"/>
  <c r="J247" i="1"/>
  <c r="H247" i="1"/>
  <c r="Z246" i="1"/>
  <c r="U246" i="1"/>
  <c r="K246" i="1"/>
  <c r="J246" i="1"/>
  <c r="H246" i="1"/>
  <c r="Z245" i="1"/>
  <c r="U245" i="1"/>
  <c r="Q245" i="1"/>
  <c r="K245" i="1"/>
  <c r="J245" i="1"/>
  <c r="H245" i="1"/>
  <c r="Z244" i="1"/>
  <c r="U244" i="1"/>
  <c r="K244" i="1"/>
  <c r="J244" i="1"/>
  <c r="H244" i="1"/>
  <c r="Z243" i="1"/>
  <c r="U243" i="1"/>
  <c r="Q243" i="1"/>
  <c r="K243" i="1"/>
  <c r="J243" i="1"/>
  <c r="L243" i="1" s="1"/>
  <c r="M243" i="1" s="1"/>
  <c r="H243" i="1"/>
  <c r="Z242" i="1"/>
  <c r="U242" i="1"/>
  <c r="M242" i="1"/>
  <c r="L242" i="1"/>
  <c r="K242" i="1"/>
  <c r="J242" i="1"/>
  <c r="H242" i="1"/>
  <c r="Z241" i="1"/>
  <c r="U241" i="1"/>
  <c r="K241" i="1"/>
  <c r="J241" i="1"/>
  <c r="H241" i="1"/>
  <c r="Z240" i="1"/>
  <c r="U240" i="1"/>
  <c r="K240" i="1"/>
  <c r="J240" i="1"/>
  <c r="X240" i="1" s="1"/>
  <c r="H240" i="1"/>
  <c r="Z239" i="1"/>
  <c r="U239" i="1"/>
  <c r="M239" i="1"/>
  <c r="K239" i="1"/>
  <c r="J239" i="1"/>
  <c r="H239" i="1"/>
  <c r="Z238" i="1"/>
  <c r="U238" i="1"/>
  <c r="K238" i="1"/>
  <c r="J238" i="1"/>
  <c r="H238" i="1"/>
  <c r="Z237" i="1"/>
  <c r="U237" i="1"/>
  <c r="Q237" i="1"/>
  <c r="K237" i="1"/>
  <c r="J237" i="1"/>
  <c r="AK237" i="1" s="1"/>
  <c r="H237" i="1"/>
  <c r="Z236" i="1"/>
  <c r="U236" i="1"/>
  <c r="K236" i="1"/>
  <c r="J236" i="1"/>
  <c r="L236" i="1" s="1"/>
  <c r="H236" i="1"/>
  <c r="Z235" i="1"/>
  <c r="U235" i="1"/>
  <c r="K235" i="1"/>
  <c r="J235" i="1"/>
  <c r="AH235" i="1" s="1"/>
  <c r="H235" i="1"/>
  <c r="Z234" i="1"/>
  <c r="U234" i="1"/>
  <c r="K234" i="1"/>
  <c r="J234" i="1"/>
  <c r="H234" i="1"/>
  <c r="Z233" i="1"/>
  <c r="U233" i="1"/>
  <c r="K233" i="1"/>
  <c r="J233" i="1"/>
  <c r="H233" i="1"/>
  <c r="Z232" i="1"/>
  <c r="U232" i="1"/>
  <c r="Q232" i="1"/>
  <c r="K232" i="1"/>
  <c r="J232" i="1"/>
  <c r="M232" i="1" s="1"/>
  <c r="H232" i="1"/>
  <c r="Z231" i="1"/>
  <c r="U231" i="1"/>
  <c r="Q231" i="1"/>
  <c r="L231" i="1"/>
  <c r="K231" i="1"/>
  <c r="J231" i="1"/>
  <c r="H231" i="1"/>
  <c r="Z230" i="1"/>
  <c r="U230" i="1"/>
  <c r="Q230" i="1"/>
  <c r="K230" i="1"/>
  <c r="J230" i="1"/>
  <c r="H230" i="1"/>
  <c r="Z229" i="1"/>
  <c r="U229" i="1"/>
  <c r="K229" i="1"/>
  <c r="J229" i="1"/>
  <c r="H229" i="1"/>
  <c r="Z228" i="1"/>
  <c r="U228" i="1"/>
  <c r="K228" i="1"/>
  <c r="J228" i="1"/>
  <c r="H228" i="1"/>
  <c r="AI227" i="1"/>
  <c r="Z227" i="1"/>
  <c r="U227" i="1"/>
  <c r="Q227" i="1"/>
  <c r="K227" i="1"/>
  <c r="J227" i="1"/>
  <c r="H227" i="1"/>
  <c r="Z226" i="1"/>
  <c r="U226" i="1"/>
  <c r="M226" i="1"/>
  <c r="K226" i="1"/>
  <c r="J226" i="1"/>
  <c r="L226" i="1" s="1"/>
  <c r="H226" i="1"/>
  <c r="Z225" i="1"/>
  <c r="U225" i="1"/>
  <c r="M225" i="1"/>
  <c r="L225" i="1"/>
  <c r="K225" i="1"/>
  <c r="J225" i="1"/>
  <c r="H225" i="1"/>
  <c r="Z224" i="1"/>
  <c r="U224" i="1"/>
  <c r="K224" i="1"/>
  <c r="J224" i="1"/>
  <c r="H224" i="1"/>
  <c r="Z223" i="1"/>
  <c r="U223" i="1"/>
  <c r="Q223" i="1"/>
  <c r="K223" i="1"/>
  <c r="J223" i="1"/>
  <c r="M223" i="1" s="1"/>
  <c r="H223" i="1"/>
  <c r="Z222" i="1"/>
  <c r="U222" i="1"/>
  <c r="K222" i="1"/>
  <c r="J222" i="1"/>
  <c r="H222" i="1"/>
  <c r="Z221" i="1"/>
  <c r="U221" i="1"/>
  <c r="Q221" i="1"/>
  <c r="L221" i="1"/>
  <c r="K221" i="1"/>
  <c r="J221" i="1"/>
  <c r="H221" i="1"/>
  <c r="Z220" i="1"/>
  <c r="U220" i="1"/>
  <c r="Q220" i="1"/>
  <c r="K220" i="1"/>
  <c r="J220" i="1"/>
  <c r="H220" i="1"/>
  <c r="Z219" i="1"/>
  <c r="U219" i="1"/>
  <c r="Q219" i="1"/>
  <c r="K219" i="1"/>
  <c r="J219" i="1"/>
  <c r="M219" i="1" s="1"/>
  <c r="H219" i="1"/>
  <c r="Z218" i="1"/>
  <c r="U218" i="1"/>
  <c r="Q218" i="1"/>
  <c r="K218" i="1"/>
  <c r="J218" i="1"/>
  <c r="X218" i="1" s="1"/>
  <c r="H218" i="1"/>
  <c r="Z217" i="1"/>
  <c r="U217" i="1"/>
  <c r="Q217" i="1"/>
  <c r="K217" i="1"/>
  <c r="J217" i="1"/>
  <c r="M217" i="1" s="1"/>
  <c r="H217" i="1"/>
  <c r="Z216" i="1"/>
  <c r="X216" i="1" s="1"/>
  <c r="U216" i="1"/>
  <c r="Q216" i="1"/>
  <c r="K216" i="1"/>
  <c r="J216" i="1"/>
  <c r="H216" i="1"/>
  <c r="Z215" i="1"/>
  <c r="U215" i="1"/>
  <c r="Q215" i="1"/>
  <c r="K215" i="1"/>
  <c r="J215" i="1"/>
  <c r="M215" i="1" s="1"/>
  <c r="H215" i="1"/>
  <c r="Z214" i="1"/>
  <c r="X214" i="1"/>
  <c r="U214" i="1"/>
  <c r="Q214" i="1"/>
  <c r="L214" i="1" s="1"/>
  <c r="K214" i="1"/>
  <c r="J214" i="1"/>
  <c r="H214" i="1"/>
  <c r="Z213" i="1"/>
  <c r="U213" i="1"/>
  <c r="H213" i="1"/>
  <c r="Z212" i="1"/>
  <c r="U212" i="1"/>
  <c r="H212" i="1"/>
  <c r="Z211" i="1"/>
  <c r="U211" i="1"/>
  <c r="K211" i="1"/>
  <c r="J211" i="1"/>
  <c r="H211" i="1"/>
  <c r="Z210" i="1"/>
  <c r="U210" i="1"/>
  <c r="L210" i="1"/>
  <c r="M210" i="1" s="1"/>
  <c r="K210" i="1"/>
  <c r="J210" i="1"/>
  <c r="H210" i="1"/>
  <c r="Z209" i="1"/>
  <c r="U209" i="1"/>
  <c r="Q209" i="1"/>
  <c r="J209" i="1"/>
  <c r="H209" i="1"/>
  <c r="Z208" i="1"/>
  <c r="U208" i="1"/>
  <c r="Q208" i="1"/>
  <c r="H208" i="1"/>
  <c r="Z207" i="1"/>
  <c r="U207" i="1"/>
  <c r="Q207" i="1"/>
  <c r="H207" i="1"/>
  <c r="Z206" i="1"/>
  <c r="U206" i="1"/>
  <c r="Q206" i="1"/>
  <c r="K206" i="1"/>
  <c r="J206" i="1"/>
  <c r="H206" i="1"/>
  <c r="AJ205" i="1"/>
  <c r="AH205" i="1"/>
  <c r="Z205" i="1"/>
  <c r="U205" i="1"/>
  <c r="Q205" i="1"/>
  <c r="M205" i="1"/>
  <c r="K205" i="1"/>
  <c r="J205" i="1"/>
  <c r="H205" i="1"/>
  <c r="Z204" i="1"/>
  <c r="U204" i="1"/>
  <c r="Q204" i="1"/>
  <c r="M204" i="1"/>
  <c r="K204" i="1"/>
  <c r="J204" i="1"/>
  <c r="H204" i="1"/>
  <c r="AJ203" i="1"/>
  <c r="AI203" i="1"/>
  <c r="Z203" i="1"/>
  <c r="U203" i="1"/>
  <c r="L203" i="1"/>
  <c r="M203" i="1" s="1"/>
  <c r="K203" i="1"/>
  <c r="J203" i="1"/>
  <c r="H203" i="1"/>
  <c r="Z202" i="1"/>
  <c r="U202" i="1"/>
  <c r="K202" i="1"/>
  <c r="J202" i="1"/>
  <c r="H202" i="1"/>
  <c r="Z201" i="1"/>
  <c r="U201" i="1"/>
  <c r="K201" i="1"/>
  <c r="J201" i="1"/>
  <c r="X201" i="1" s="1"/>
  <c r="H201" i="1"/>
  <c r="Z200" i="1"/>
  <c r="U200" i="1"/>
  <c r="Q200" i="1"/>
  <c r="H200" i="1"/>
  <c r="Z199" i="1"/>
  <c r="U199" i="1"/>
  <c r="Q199" i="1"/>
  <c r="L199" i="1" s="1"/>
  <c r="K199" i="1"/>
  <c r="J199" i="1"/>
  <c r="H199" i="1"/>
  <c r="Z198" i="1"/>
  <c r="U198" i="1"/>
  <c r="Q198" i="1"/>
  <c r="L198" i="1"/>
  <c r="M198" i="1" s="1"/>
  <c r="K198" i="1"/>
  <c r="J198" i="1"/>
  <c r="H198" i="1"/>
  <c r="Z197" i="1"/>
  <c r="U197" i="1"/>
  <c r="Q197" i="1"/>
  <c r="M197" i="1"/>
  <c r="K197" i="1"/>
  <c r="J197" i="1"/>
  <c r="L197" i="1" s="1"/>
  <c r="H197" i="1"/>
  <c r="Z196" i="1"/>
  <c r="U196" i="1"/>
  <c r="K196" i="1"/>
  <c r="J196" i="1"/>
  <c r="H196" i="1"/>
  <c r="Z195" i="1"/>
  <c r="U195" i="1"/>
  <c r="K195" i="1"/>
  <c r="J195" i="1"/>
  <c r="H195" i="1"/>
  <c r="Z194" i="1"/>
  <c r="U194" i="1"/>
  <c r="K194" i="1"/>
  <c r="J194" i="1"/>
  <c r="H194" i="1"/>
  <c r="Z193" i="1"/>
  <c r="U193" i="1"/>
  <c r="Q193" i="1"/>
  <c r="K193" i="1"/>
  <c r="J193" i="1"/>
  <c r="H193" i="1"/>
  <c r="AJ192" i="1"/>
  <c r="AI192" i="1"/>
  <c r="Z192" i="1"/>
  <c r="U192" i="1"/>
  <c r="Q192" i="1"/>
  <c r="L192" i="1" s="1"/>
  <c r="M192" i="1"/>
  <c r="K192" i="1"/>
  <c r="J192" i="1"/>
  <c r="X192" i="1" s="1"/>
  <c r="H192" i="1"/>
  <c r="Z191" i="1"/>
  <c r="U191" i="1"/>
  <c r="Q191" i="1"/>
  <c r="K191" i="1"/>
  <c r="J191" i="1"/>
  <c r="H191" i="1"/>
  <c r="Z190" i="1"/>
  <c r="U190" i="1"/>
  <c r="Q190" i="1"/>
  <c r="K190" i="1"/>
  <c r="J190" i="1"/>
  <c r="X190" i="1" s="1"/>
  <c r="H190" i="1"/>
  <c r="Z189" i="1"/>
  <c r="U189" i="1"/>
  <c r="Q189" i="1"/>
  <c r="H189" i="1"/>
  <c r="AI188" i="1"/>
  <c r="Z188" i="1"/>
  <c r="U188" i="1"/>
  <c r="K188" i="1"/>
  <c r="J188" i="1"/>
  <c r="AK188" i="1" s="1"/>
  <c r="H188" i="1"/>
  <c r="Z187" i="1"/>
  <c r="U187" i="1"/>
  <c r="Q187" i="1"/>
  <c r="K187" i="1"/>
  <c r="J187" i="1"/>
  <c r="L187" i="1" s="1"/>
  <c r="M187" i="1" s="1"/>
  <c r="H187" i="1"/>
  <c r="Z186" i="1"/>
  <c r="U186" i="1"/>
  <c r="Q186" i="1"/>
  <c r="K186" i="1"/>
  <c r="J186" i="1"/>
  <c r="M186" i="1" s="1"/>
  <c r="H186" i="1"/>
  <c r="Z185" i="1"/>
  <c r="U185" i="1"/>
  <c r="Q185" i="1"/>
  <c r="H185" i="1"/>
  <c r="Z184" i="1"/>
  <c r="U184" i="1"/>
  <c r="H184" i="1"/>
  <c r="Z183" i="1"/>
  <c r="U183" i="1"/>
  <c r="Q183" i="1"/>
  <c r="K183" i="1"/>
  <c r="J183" i="1"/>
  <c r="AI183" i="1" s="1"/>
  <c r="H183" i="1"/>
  <c r="Z182" i="1"/>
  <c r="U182" i="1"/>
  <c r="Q182" i="1"/>
  <c r="L182" i="1" s="1"/>
  <c r="M182" i="1"/>
  <c r="K182" i="1"/>
  <c r="J182" i="1"/>
  <c r="H182" i="1"/>
  <c r="Z181" i="1"/>
  <c r="U181" i="1"/>
  <c r="Q181" i="1"/>
  <c r="K181" i="1"/>
  <c r="J181" i="1"/>
  <c r="AH181" i="1" s="1"/>
  <c r="H181" i="1"/>
  <c r="Z180" i="1"/>
  <c r="U180" i="1"/>
  <c r="Q180" i="1"/>
  <c r="L180" i="1"/>
  <c r="K180" i="1"/>
  <c r="J180" i="1"/>
  <c r="H180" i="1"/>
  <c r="Z179" i="1"/>
  <c r="U179" i="1"/>
  <c r="Q179" i="1"/>
  <c r="K179" i="1"/>
  <c r="J179" i="1"/>
  <c r="L179" i="1" s="1"/>
  <c r="H179" i="1"/>
  <c r="Z178" i="1"/>
  <c r="U178" i="1"/>
  <c r="Q178" i="1"/>
  <c r="K178" i="1"/>
  <c r="J178" i="1"/>
  <c r="H178" i="1"/>
  <c r="Z177" i="1"/>
  <c r="U177" i="1"/>
  <c r="K177" i="1"/>
  <c r="J177" i="1"/>
  <c r="H177" i="1"/>
  <c r="Z176" i="1"/>
  <c r="U176" i="1"/>
  <c r="K176" i="1"/>
  <c r="J176" i="1"/>
  <c r="H176" i="1"/>
  <c r="Z175" i="1"/>
  <c r="X175" i="1"/>
  <c r="U175" i="1"/>
  <c r="K175" i="1"/>
  <c r="J175" i="1"/>
  <c r="H175" i="1"/>
  <c r="Z174" i="1"/>
  <c r="U174" i="1"/>
  <c r="L174" i="1"/>
  <c r="K174" i="1"/>
  <c r="J174" i="1"/>
  <c r="H174" i="1"/>
  <c r="Z173" i="1"/>
  <c r="U173" i="1"/>
  <c r="Q173" i="1"/>
  <c r="K173" i="1"/>
  <c r="J173" i="1"/>
  <c r="H173" i="1"/>
  <c r="Z172" i="1"/>
  <c r="U172" i="1"/>
  <c r="Q172" i="1"/>
  <c r="H172" i="1"/>
  <c r="Z171" i="1"/>
  <c r="U171" i="1"/>
  <c r="Q171" i="1"/>
  <c r="H171" i="1"/>
  <c r="Z170" i="1"/>
  <c r="U170" i="1"/>
  <c r="K170" i="1"/>
  <c r="J170" i="1"/>
  <c r="H170" i="1"/>
  <c r="AK169" i="1"/>
  <c r="Z169" i="1"/>
  <c r="U169" i="1"/>
  <c r="Q169" i="1"/>
  <c r="L169" i="1" s="1"/>
  <c r="K169" i="1"/>
  <c r="J169" i="1"/>
  <c r="M169" i="1" s="1"/>
  <c r="H169" i="1"/>
  <c r="Z168" i="1"/>
  <c r="U168" i="1"/>
  <c r="K168" i="1"/>
  <c r="J168" i="1"/>
  <c r="L168" i="1" s="1"/>
  <c r="H168" i="1"/>
  <c r="Z167" i="1"/>
  <c r="U167" i="1"/>
  <c r="K167" i="1"/>
  <c r="J167" i="1"/>
  <c r="L167" i="1" s="1"/>
  <c r="H167" i="1"/>
  <c r="Z166" i="1"/>
  <c r="U166" i="1"/>
  <c r="Q166" i="1"/>
  <c r="H166" i="1"/>
  <c r="Z165" i="1"/>
  <c r="U165" i="1"/>
  <c r="Q165" i="1"/>
  <c r="K165" i="1"/>
  <c r="J165" i="1"/>
  <c r="AK165" i="1" s="1"/>
  <c r="H165" i="1"/>
  <c r="Z164" i="1"/>
  <c r="U164" i="1"/>
  <c r="Q164" i="1"/>
  <c r="M164" i="1"/>
  <c r="L164" i="1"/>
  <c r="K164" i="1"/>
  <c r="J164" i="1"/>
  <c r="H164" i="1"/>
  <c r="Z163" i="1"/>
  <c r="U163" i="1"/>
  <c r="L163" i="1"/>
  <c r="K163" i="1"/>
  <c r="J163" i="1"/>
  <c r="H163" i="1"/>
  <c r="Z162" i="1"/>
  <c r="U162" i="1"/>
  <c r="K162" i="1"/>
  <c r="J162" i="1"/>
  <c r="H162" i="1"/>
  <c r="AH161" i="1"/>
  <c r="Z161" i="1"/>
  <c r="U161" i="1"/>
  <c r="Q161" i="1"/>
  <c r="K161" i="1"/>
  <c r="J161" i="1"/>
  <c r="L161" i="1" s="1"/>
  <c r="H161" i="1"/>
  <c r="Z160" i="1"/>
  <c r="U160" i="1"/>
  <c r="Q160" i="1"/>
  <c r="H160" i="1"/>
  <c r="Z159" i="1"/>
  <c r="U159" i="1"/>
  <c r="K159" i="1"/>
  <c r="J159" i="1"/>
  <c r="X159" i="1" s="1"/>
  <c r="H159" i="1"/>
  <c r="Z158" i="1"/>
  <c r="U158" i="1"/>
  <c r="K158" i="1"/>
  <c r="J158" i="1"/>
  <c r="H158" i="1"/>
  <c r="Z157" i="1"/>
  <c r="U157" i="1"/>
  <c r="K157" i="1"/>
  <c r="J157" i="1"/>
  <c r="AH157" i="1" s="1"/>
  <c r="H157" i="1"/>
  <c r="Z156" i="1"/>
  <c r="U156" i="1"/>
  <c r="K156" i="1"/>
  <c r="J156" i="1"/>
  <c r="L156" i="1" s="1"/>
  <c r="H156" i="1"/>
  <c r="Z155" i="1"/>
  <c r="U155" i="1"/>
  <c r="Q155" i="1"/>
  <c r="M155" i="1"/>
  <c r="L155" i="1"/>
  <c r="K155" i="1"/>
  <c r="J155" i="1"/>
  <c r="H155" i="1"/>
  <c r="Z154" i="1"/>
  <c r="U154" i="1"/>
  <c r="Q154" i="1"/>
  <c r="K154" i="1"/>
  <c r="J154" i="1"/>
  <c r="AH154" i="1" s="1"/>
  <c r="H154" i="1"/>
  <c r="Z153" i="1"/>
  <c r="U153" i="1"/>
  <c r="K153" i="1"/>
  <c r="J153" i="1"/>
  <c r="L153" i="1" s="1"/>
  <c r="M153" i="1" s="1" a="1"/>
  <c r="M153" i="1" s="1"/>
  <c r="H153" i="1"/>
  <c r="Z152" i="1"/>
  <c r="U152" i="1"/>
  <c r="Q152" i="1"/>
  <c r="K152" i="1"/>
  <c r="J152" i="1"/>
  <c r="H152" i="1"/>
  <c r="Z151" i="1"/>
  <c r="U151" i="1"/>
  <c r="Q151" i="1"/>
  <c r="K151" i="1"/>
  <c r="J151" i="1"/>
  <c r="H151" i="1"/>
  <c r="Z150" i="1"/>
  <c r="U150" i="1"/>
  <c r="Q150" i="1"/>
  <c r="K150" i="1"/>
  <c r="J150" i="1"/>
  <c r="H150" i="1"/>
  <c r="Z149" i="1"/>
  <c r="U149" i="1"/>
  <c r="M149" i="1" s="1"/>
  <c r="Q149" i="1"/>
  <c r="H149" i="1"/>
  <c r="AG148" i="1"/>
  <c r="Z148" i="1"/>
  <c r="U148" i="1"/>
  <c r="M148" i="1"/>
  <c r="K148" i="1"/>
  <c r="J148" i="1"/>
  <c r="H148" i="1"/>
  <c r="Z147" i="1"/>
  <c r="U147" i="1"/>
  <c r="K147" i="1"/>
  <c r="J147" i="1"/>
  <c r="H147" i="1"/>
  <c r="Z146" i="1"/>
  <c r="U146" i="1"/>
  <c r="Q146" i="1"/>
  <c r="L146" i="1"/>
  <c r="M146" i="1" s="1"/>
  <c r="K146" i="1"/>
  <c r="J146" i="1"/>
  <c r="AJ146" i="1" s="1"/>
  <c r="H146" i="1"/>
  <c r="Z145" i="1"/>
  <c r="U145" i="1"/>
  <c r="Q145" i="1"/>
  <c r="L145" i="1"/>
  <c r="K145" i="1"/>
  <c r="J145" i="1"/>
  <c r="H145" i="1"/>
  <c r="Z144" i="1"/>
  <c r="U144" i="1"/>
  <c r="K144" i="1"/>
  <c r="J144" i="1"/>
  <c r="L144" i="1" s="1"/>
  <c r="M144" i="1" s="1"/>
  <c r="H144" i="1"/>
  <c r="Z143" i="1"/>
  <c r="U143" i="1"/>
  <c r="K143" i="1"/>
  <c r="J143" i="1"/>
  <c r="L143" i="1" s="1"/>
  <c r="M143" i="1" s="1"/>
  <c r="H143" i="1"/>
  <c r="Z142" i="1"/>
  <c r="U142" i="1"/>
  <c r="K142" i="1"/>
  <c r="J142" i="1"/>
  <c r="AG142" i="1" s="1"/>
  <c r="H142" i="1"/>
  <c r="Z141" i="1"/>
  <c r="U141" i="1"/>
  <c r="L141" i="1"/>
  <c r="M141" i="1" s="1"/>
  <c r="K141" i="1"/>
  <c r="J141" i="1"/>
  <c r="H141" i="1"/>
  <c r="Z140" i="1"/>
  <c r="U140" i="1"/>
  <c r="K140" i="1"/>
  <c r="J140" i="1"/>
  <c r="H140" i="1"/>
  <c r="Z139" i="1"/>
  <c r="U139" i="1"/>
  <c r="K139" i="1"/>
  <c r="J139" i="1"/>
  <c r="H139" i="1"/>
  <c r="Z138" i="1"/>
  <c r="U138" i="1"/>
  <c r="K138" i="1"/>
  <c r="J138" i="1"/>
  <c r="L138" i="1" s="1"/>
  <c r="M138" i="1" s="1"/>
  <c r="H138" i="1"/>
  <c r="Z137" i="1"/>
  <c r="U137" i="1"/>
  <c r="K137" i="1"/>
  <c r="J137" i="1"/>
  <c r="H137" i="1"/>
  <c r="Z136" i="1"/>
  <c r="X136" i="1"/>
  <c r="U136" i="1"/>
  <c r="K136" i="1"/>
  <c r="J136" i="1"/>
  <c r="H136" i="1"/>
  <c r="Z135" i="1"/>
  <c r="U135" i="1"/>
  <c r="Q135" i="1"/>
  <c r="K135" i="1"/>
  <c r="J135" i="1"/>
  <c r="H135" i="1"/>
  <c r="Z134" i="1"/>
  <c r="U134" i="1"/>
  <c r="K134" i="1"/>
  <c r="J134" i="1"/>
  <c r="H134" i="1"/>
  <c r="AJ133" i="1"/>
  <c r="AI133" i="1"/>
  <c r="AH133" i="1"/>
  <c r="Z133" i="1"/>
  <c r="U133" i="1"/>
  <c r="K133" i="1"/>
  <c r="J133" i="1"/>
  <c r="L133" i="1" s="1"/>
  <c r="M133" i="1" s="1"/>
  <c r="H133" i="1"/>
  <c r="Z132" i="1"/>
  <c r="U132" i="1"/>
  <c r="Q132" i="1"/>
  <c r="K132" i="1"/>
  <c r="J132" i="1"/>
  <c r="X132" i="1" s="1"/>
  <c r="H132" i="1"/>
  <c r="Z131" i="1"/>
  <c r="U131" i="1"/>
  <c r="Q131" i="1"/>
  <c r="J131" i="1"/>
  <c r="H131" i="1"/>
  <c r="Z130" i="1"/>
  <c r="U130" i="1"/>
  <c r="K130" i="1"/>
  <c r="J130" i="1"/>
  <c r="H130" i="1"/>
  <c r="Z129" i="1"/>
  <c r="U129" i="1"/>
  <c r="K129" i="1"/>
  <c r="J129" i="1"/>
  <c r="X129" i="1" s="1"/>
  <c r="H129" i="1"/>
  <c r="Z128" i="1"/>
  <c r="U128" i="1"/>
  <c r="Q128" i="1"/>
  <c r="K128" i="1"/>
  <c r="J128" i="1"/>
  <c r="L128" i="1" s="1"/>
  <c r="H128" i="1"/>
  <c r="Z127" i="1"/>
  <c r="U127" i="1"/>
  <c r="K127" i="1"/>
  <c r="J127" i="1"/>
  <c r="AK127" i="1" s="1"/>
  <c r="H127" i="1"/>
  <c r="Z126" i="1"/>
  <c r="U126" i="1"/>
  <c r="Q126" i="1"/>
  <c r="K126" i="1"/>
  <c r="J126" i="1"/>
  <c r="H126" i="1"/>
  <c r="Z125" i="1"/>
  <c r="U125" i="1"/>
  <c r="K125" i="1"/>
  <c r="J125" i="1"/>
  <c r="L125" i="1" s="1"/>
  <c r="H125" i="1"/>
  <c r="Z124" i="1"/>
  <c r="U124" i="1"/>
  <c r="K124" i="1"/>
  <c r="J124" i="1"/>
  <c r="H124" i="1"/>
  <c r="Z123" i="1"/>
  <c r="U123" i="1"/>
  <c r="Q123" i="1"/>
  <c r="K123" i="1"/>
  <c r="J123" i="1"/>
  <c r="H123" i="1"/>
  <c r="Z122" i="1"/>
  <c r="U122" i="1"/>
  <c r="Q122" i="1"/>
  <c r="K122" i="1"/>
  <c r="J122" i="1"/>
  <c r="H122" i="1"/>
  <c r="Z121" i="1"/>
  <c r="U121" i="1"/>
  <c r="K121" i="1"/>
  <c r="J121" i="1"/>
  <c r="H121" i="1"/>
  <c r="Z120" i="1"/>
  <c r="U120" i="1"/>
  <c r="K120" i="1"/>
  <c r="J120" i="1"/>
  <c r="M120" i="1" s="1"/>
  <c r="H120" i="1"/>
  <c r="Z119" i="1"/>
  <c r="U119" i="1"/>
  <c r="K119" i="1"/>
  <c r="J119" i="1"/>
  <c r="AK119" i="1" s="1"/>
  <c r="H119" i="1"/>
  <c r="Z118" i="1"/>
  <c r="U118" i="1"/>
  <c r="K118" i="1"/>
  <c r="J118" i="1"/>
  <c r="H118" i="1"/>
  <c r="AI117" i="1"/>
  <c r="Z117" i="1"/>
  <c r="U117" i="1"/>
  <c r="K117" i="1"/>
  <c r="J117" i="1"/>
  <c r="H117" i="1"/>
  <c r="Z116" i="1"/>
  <c r="U116" i="1"/>
  <c r="M116" i="1"/>
  <c r="L116" i="1"/>
  <c r="K116" i="1"/>
  <c r="J116" i="1"/>
  <c r="H116" i="1"/>
  <c r="Z115" i="1"/>
  <c r="U115" i="1"/>
  <c r="L115" i="1"/>
  <c r="K115" i="1"/>
  <c r="J115" i="1"/>
  <c r="H115" i="1"/>
  <c r="Z114" i="1"/>
  <c r="U114" i="1"/>
  <c r="K114" i="1"/>
  <c r="J114" i="1"/>
  <c r="H114" i="1"/>
  <c r="AJ113" i="1"/>
  <c r="Z113" i="1"/>
  <c r="U113" i="1"/>
  <c r="K113" i="1"/>
  <c r="J113" i="1"/>
  <c r="X113" i="1" s="1"/>
  <c r="H113" i="1"/>
  <c r="Z112" i="1"/>
  <c r="U112" i="1"/>
  <c r="K112" i="1"/>
  <c r="J112" i="1"/>
  <c r="L112" i="1" s="1"/>
  <c r="M112" i="1" s="1"/>
  <c r="H112" i="1"/>
  <c r="Z111" i="1"/>
  <c r="U111" i="1"/>
  <c r="Q111" i="1"/>
  <c r="K111" i="1"/>
  <c r="J111" i="1"/>
  <c r="H111" i="1"/>
  <c r="Z110" i="1"/>
  <c r="U110" i="1"/>
  <c r="Q110" i="1"/>
  <c r="L110" i="1" s="1"/>
  <c r="K110" i="1"/>
  <c r="J110" i="1"/>
  <c r="AK110" i="1" s="1"/>
  <c r="H110" i="1"/>
  <c r="AH109" i="1"/>
  <c r="AG109" i="1"/>
  <c r="Z109" i="1"/>
  <c r="U109" i="1"/>
  <c r="Q109" i="1"/>
  <c r="L109" i="1"/>
  <c r="K109" i="1"/>
  <c r="J109" i="1"/>
  <c r="AK109" i="1" s="1"/>
  <c r="H109" i="1"/>
  <c r="Z108" i="1"/>
  <c r="U108" i="1"/>
  <c r="Q108" i="1"/>
  <c r="K108" i="1"/>
  <c r="J108" i="1"/>
  <c r="H108" i="1"/>
  <c r="Z107" i="1"/>
  <c r="U107" i="1"/>
  <c r="J107" i="1"/>
  <c r="AG107" i="1" s="1"/>
  <c r="H107" i="1"/>
  <c r="Z106" i="1"/>
  <c r="U106" i="1"/>
  <c r="Q106" i="1"/>
  <c r="K106" i="1"/>
  <c r="J106" i="1"/>
  <c r="L106" i="1" s="1"/>
  <c r="M106" i="1" s="1"/>
  <c r="H106" i="1"/>
  <c r="Z105" i="1"/>
  <c r="U105" i="1"/>
  <c r="K105" i="1"/>
  <c r="J105" i="1"/>
  <c r="M105" i="1" s="1"/>
  <c r="H105" i="1"/>
  <c r="AH104" i="1"/>
  <c r="Z104" i="1"/>
  <c r="U104" i="1"/>
  <c r="L104" i="1"/>
  <c r="M104" i="1" s="1"/>
  <c r="K104" i="1"/>
  <c r="J104" i="1"/>
  <c r="X104" i="1" s="1"/>
  <c r="H104" i="1"/>
  <c r="Z103" i="1"/>
  <c r="U103" i="1"/>
  <c r="K103" i="1"/>
  <c r="J103" i="1"/>
  <c r="L103" i="1" s="1"/>
  <c r="M103" i="1" s="1"/>
  <c r="H103" i="1"/>
  <c r="Z102" i="1"/>
  <c r="U102" i="1"/>
  <c r="M102" i="1"/>
  <c r="K102" i="1"/>
  <c r="J102" i="1"/>
  <c r="H102" i="1"/>
  <c r="Z101" i="1"/>
  <c r="U101" i="1"/>
  <c r="M101" i="1"/>
  <c r="H101" i="1"/>
  <c r="Z100" i="1"/>
  <c r="U100" i="1"/>
  <c r="Q100" i="1"/>
  <c r="H100" i="1"/>
  <c r="Z99" i="1"/>
  <c r="U99" i="1"/>
  <c r="K99" i="1"/>
  <c r="J99" i="1"/>
  <c r="H99" i="1"/>
  <c r="Z98" i="1"/>
  <c r="U98" i="1"/>
  <c r="M98" i="1"/>
  <c r="K98" i="1"/>
  <c r="J98" i="1"/>
  <c r="H98" i="1"/>
  <c r="Z97" i="1"/>
  <c r="U97" i="1"/>
  <c r="K97" i="1"/>
  <c r="J97" i="1"/>
  <c r="L97" i="1" s="1"/>
  <c r="M97" i="1" s="1" a="1"/>
  <c r="M97" i="1" s="1"/>
  <c r="H97" i="1"/>
  <c r="AJ96" i="1"/>
  <c r="AI96" i="1"/>
  <c r="Z96" i="1"/>
  <c r="U96" i="1"/>
  <c r="M96" i="1"/>
  <c r="K96" i="1"/>
  <c r="J96" i="1"/>
  <c r="L96" i="1" s="1"/>
  <c r="H96" i="1"/>
  <c r="Z95" i="1"/>
  <c r="U95" i="1"/>
  <c r="K95" i="1"/>
  <c r="J95" i="1"/>
  <c r="L95" i="1" s="1"/>
  <c r="M95" i="1" s="1" a="1"/>
  <c r="M95" i="1" s="1"/>
  <c r="H95" i="1"/>
  <c r="Z94" i="1"/>
  <c r="X94" i="1" s="1"/>
  <c r="U94" i="1"/>
  <c r="K94" i="1"/>
  <c r="J94" i="1"/>
  <c r="L94" i="1" s="1"/>
  <c r="H94" i="1"/>
  <c r="Z93" i="1"/>
  <c r="U93" i="1"/>
  <c r="J93" i="1"/>
  <c r="L93" i="1" s="1"/>
  <c r="Z92" i="1"/>
  <c r="U92" i="1"/>
  <c r="J92" i="1"/>
  <c r="X92" i="1" s="1"/>
  <c r="H92" i="1"/>
  <c r="AI91" i="1"/>
  <c r="Z91" i="1"/>
  <c r="U91" i="1"/>
  <c r="K91" i="1"/>
  <c r="J91" i="1"/>
  <c r="M91" i="1" s="1"/>
  <c r="H91" i="1"/>
  <c r="Z90" i="1"/>
  <c r="U90" i="1"/>
  <c r="K90" i="1"/>
  <c r="J90" i="1"/>
  <c r="L90" i="1" s="1"/>
  <c r="M90" i="1" s="1"/>
  <c r="H90" i="1"/>
  <c r="Z89" i="1"/>
  <c r="U89" i="1"/>
  <c r="L89" i="1"/>
  <c r="K89" i="1"/>
  <c r="J89" i="1"/>
  <c r="H89" i="1"/>
  <c r="AJ88" i="1"/>
  <c r="Z88" i="1"/>
  <c r="U88" i="1"/>
  <c r="K88" i="1"/>
  <c r="J88" i="1"/>
  <c r="H88" i="1"/>
  <c r="Z87" i="1"/>
  <c r="U87" i="1"/>
  <c r="K87" i="1"/>
  <c r="J87" i="1"/>
  <c r="H87" i="1"/>
  <c r="AJ86" i="1"/>
  <c r="Z86" i="1"/>
  <c r="U86" i="1"/>
  <c r="M86" i="1"/>
  <c r="K86" i="1"/>
  <c r="J86" i="1"/>
  <c r="L86" i="1" s="1"/>
  <c r="H86" i="1"/>
  <c r="Z85" i="1"/>
  <c r="U85" i="1"/>
  <c r="Q85" i="1"/>
  <c r="K85" i="1"/>
  <c r="J85" i="1"/>
  <c r="L85" i="1" s="1"/>
  <c r="M85" i="1" s="1"/>
  <c r="H85" i="1"/>
  <c r="AH84" i="1"/>
  <c r="Z84" i="1"/>
  <c r="U84" i="1"/>
  <c r="M84" i="1" s="1"/>
  <c r="H84" i="1"/>
  <c r="Z83" i="1"/>
  <c r="U83" i="1"/>
  <c r="L83" i="1"/>
  <c r="K83" i="1"/>
  <c r="J83" i="1"/>
  <c r="H83" i="1"/>
  <c r="AI82" i="1"/>
  <c r="AH82" i="1"/>
  <c r="AG82" i="1"/>
  <c r="Z82" i="1"/>
  <c r="U82" i="1"/>
  <c r="K82" i="1"/>
  <c r="J82" i="1"/>
  <c r="L82" i="1" s="1"/>
  <c r="H82" i="1"/>
  <c r="Z81" i="1"/>
  <c r="X81" i="1"/>
  <c r="U81" i="1"/>
  <c r="L81" i="1"/>
  <c r="K81" i="1"/>
  <c r="J81" i="1"/>
  <c r="H81" i="1"/>
  <c r="Z80" i="1"/>
  <c r="U80" i="1"/>
  <c r="Q80" i="1"/>
  <c r="L80" i="1"/>
  <c r="M80" i="1" s="1"/>
  <c r="K80" i="1"/>
  <c r="J80" i="1"/>
  <c r="AI80" i="1" s="1"/>
  <c r="H80" i="1"/>
  <c r="Z79" i="1"/>
  <c r="U79" i="1"/>
  <c r="Q79" i="1"/>
  <c r="L79" i="1"/>
  <c r="K79" i="1"/>
  <c r="J79" i="1"/>
  <c r="AG79" i="1" s="1"/>
  <c r="H79" i="1"/>
  <c r="Z78" i="1"/>
  <c r="U78" i="1"/>
  <c r="K78" i="1"/>
  <c r="J78" i="1"/>
  <c r="L78" i="1" s="1"/>
  <c r="H78" i="1"/>
  <c r="Z77" i="1"/>
  <c r="U77" i="1"/>
  <c r="H77" i="1"/>
  <c r="Z76" i="1"/>
  <c r="U76" i="1"/>
  <c r="K76" i="1"/>
  <c r="J76" i="1"/>
  <c r="L76" i="1" s="1"/>
  <c r="M76" i="1" s="1"/>
  <c r="H76" i="1"/>
  <c r="AH75" i="1"/>
  <c r="Z75" i="1"/>
  <c r="X75" i="1"/>
  <c r="U75" i="1"/>
  <c r="Q75" i="1"/>
  <c r="K75" i="1"/>
  <c r="J75" i="1"/>
  <c r="H75" i="1"/>
  <c r="Z74" i="1"/>
  <c r="U74" i="1"/>
  <c r="Q74" i="1"/>
  <c r="K74" i="1"/>
  <c r="J74" i="1"/>
  <c r="M74" i="1" s="1"/>
  <c r="H74" i="1"/>
  <c r="AJ73" i="1"/>
  <c r="Z73" i="1"/>
  <c r="U73" i="1"/>
  <c r="H73" i="1"/>
  <c r="Z72" i="1"/>
  <c r="U72" i="1"/>
  <c r="K72" i="1"/>
  <c r="J72" i="1"/>
  <c r="L72" i="1" s="1"/>
  <c r="M72" i="1" s="1"/>
  <c r="H72" i="1"/>
  <c r="Z71" i="1"/>
  <c r="U71" i="1"/>
  <c r="K71" i="1"/>
  <c r="J71" i="1"/>
  <c r="AJ71" i="1" s="1"/>
  <c r="H71" i="1"/>
  <c r="Z70" i="1"/>
  <c r="U70" i="1"/>
  <c r="Q70" i="1"/>
  <c r="K70" i="1"/>
  <c r="J70" i="1"/>
  <c r="L70" i="1" s="1"/>
  <c r="M70" i="1" s="1"/>
  <c r="H70" i="1"/>
  <c r="Z69" i="1"/>
  <c r="Q69" i="1"/>
  <c r="K69" i="1"/>
  <c r="J69" i="1"/>
  <c r="H69" i="1"/>
  <c r="AJ68" i="1"/>
  <c r="AI68" i="1"/>
  <c r="AH68" i="1"/>
  <c r="Z68" i="1"/>
  <c r="Q68" i="1"/>
  <c r="K68" i="1"/>
  <c r="J68" i="1"/>
  <c r="H68" i="1"/>
  <c r="Z67" i="1"/>
  <c r="Q67" i="1"/>
  <c r="K67" i="1"/>
  <c r="J67" i="1"/>
  <c r="M67" i="1" s="1"/>
  <c r="H67" i="1"/>
  <c r="Z66" i="1"/>
  <c r="Q66" i="1"/>
  <c r="M66" i="1"/>
  <c r="L66" i="1"/>
  <c r="K66" i="1"/>
  <c r="J66" i="1"/>
  <c r="H66" i="1"/>
  <c r="Z65" i="1"/>
  <c r="X65" i="1" s="1"/>
  <c r="Q65" i="1"/>
  <c r="L65" i="1" s="1"/>
  <c r="K65" i="1"/>
  <c r="J65" i="1"/>
  <c r="AI65" i="1" s="1"/>
  <c r="H65" i="1"/>
  <c r="Z64" i="1"/>
  <c r="U64" i="1"/>
  <c r="Q64" i="1"/>
  <c r="K64" i="1"/>
  <c r="J64" i="1"/>
  <c r="M64" i="1" s="1"/>
  <c r="H64" i="1"/>
  <c r="Z63" i="1"/>
  <c r="U63" i="1"/>
  <c r="K63" i="1"/>
  <c r="J63" i="1"/>
  <c r="AJ63" i="1" s="1"/>
  <c r="H63" i="1"/>
  <c r="Z62" i="1"/>
  <c r="U62" i="1"/>
  <c r="H62" i="1"/>
  <c r="AK61" i="1"/>
  <c r="AI61" i="1"/>
  <c r="Z61" i="1"/>
  <c r="U61" i="1"/>
  <c r="H61" i="1"/>
  <c r="Z60" i="1"/>
  <c r="U60" i="1"/>
  <c r="J60" i="1"/>
  <c r="L60" i="1" s="1"/>
  <c r="M60" i="1" s="1" a="1"/>
  <c r="M60" i="1" s="1"/>
  <c r="H60" i="1"/>
  <c r="Z59" i="1"/>
  <c r="U59" i="1"/>
  <c r="J59" i="1"/>
  <c r="AK59" i="1" s="1"/>
  <c r="H59" i="1"/>
  <c r="AJ58" i="1"/>
  <c r="AI58" i="1"/>
  <c r="AG58" i="1"/>
  <c r="Z58" i="1"/>
  <c r="X58" i="1" s="1"/>
  <c r="U58" i="1"/>
  <c r="K58" i="1"/>
  <c r="J58" i="1"/>
  <c r="L58" i="1" s="1"/>
  <c r="H58" i="1"/>
  <c r="Z57" i="1"/>
  <c r="U57" i="1"/>
  <c r="Q57" i="1"/>
  <c r="K57" i="1"/>
  <c r="J57" i="1"/>
  <c r="X57" i="1" s="1"/>
  <c r="H57" i="1"/>
  <c r="Z56" i="1"/>
  <c r="U56" i="1"/>
  <c r="K56" i="1"/>
  <c r="J56" i="1"/>
  <c r="L56" i="1" s="1"/>
  <c r="H56" i="1"/>
  <c r="Z55" i="1"/>
  <c r="U55" i="1"/>
  <c r="K55" i="1"/>
  <c r="J55" i="1"/>
  <c r="H55" i="1"/>
  <c r="Z54" i="1"/>
  <c r="U54" i="1"/>
  <c r="K54" i="1"/>
  <c r="J54" i="1"/>
  <c r="H54" i="1"/>
  <c r="AJ53" i="1"/>
  <c r="AI53" i="1"/>
  <c r="AH53" i="1"/>
  <c r="Z53" i="1"/>
  <c r="U53" i="1"/>
  <c r="H53" i="1"/>
  <c r="Z52" i="1"/>
  <c r="U52" i="1"/>
  <c r="K52" i="1"/>
  <c r="J52" i="1"/>
  <c r="H52" i="1"/>
  <c r="Z51" i="1"/>
  <c r="U51" i="1"/>
  <c r="K51" i="1"/>
  <c r="J51" i="1"/>
  <c r="AG51" i="1" s="1"/>
  <c r="H51" i="1"/>
  <c r="Z50" i="1"/>
  <c r="U50" i="1"/>
  <c r="K50" i="1"/>
  <c r="J50" i="1"/>
  <c r="H50" i="1"/>
  <c r="Z49" i="1"/>
  <c r="U49" i="1"/>
  <c r="K49" i="1"/>
  <c r="J49" i="1"/>
  <c r="H49" i="1"/>
  <c r="AI48" i="1"/>
  <c r="AG48" i="1"/>
  <c r="Z48" i="1"/>
  <c r="X48" i="1"/>
  <c r="M48" i="1"/>
  <c r="L48" i="1"/>
  <c r="K48" i="1"/>
  <c r="J48" i="1"/>
  <c r="H48" i="1"/>
  <c r="Z47" i="1"/>
  <c r="U47" i="1"/>
  <c r="Q47" i="1"/>
  <c r="K47" i="1"/>
  <c r="J47" i="1"/>
  <c r="H47" i="1"/>
  <c r="AJ46" i="1"/>
  <c r="Z46" i="1"/>
  <c r="U46" i="1"/>
  <c r="Q46" i="1"/>
  <c r="L46" i="1" s="1"/>
  <c r="K46" i="1"/>
  <c r="J46" i="1"/>
  <c r="M46" i="1" s="1"/>
  <c r="H46" i="1"/>
  <c r="AH45" i="1"/>
  <c r="Z45" i="1"/>
  <c r="U45" i="1"/>
  <c r="Q45" i="1"/>
  <c r="K45" i="1"/>
  <c r="J45" i="1"/>
  <c r="AJ45" i="1" s="1"/>
  <c r="H45" i="1"/>
  <c r="AI44" i="1"/>
  <c r="AH44" i="1"/>
  <c r="Z44" i="1"/>
  <c r="X44" i="1" s="1"/>
  <c r="U44" i="1"/>
  <c r="Q44" i="1"/>
  <c r="K44" i="1"/>
  <c r="J44" i="1"/>
  <c r="H44" i="1"/>
  <c r="Z43" i="1"/>
  <c r="U43" i="1"/>
  <c r="Q43" i="1"/>
  <c r="K43" i="1"/>
  <c r="J43" i="1"/>
  <c r="M43" i="1" s="1"/>
  <c r="H43" i="1"/>
  <c r="AK42" i="1"/>
  <c r="Z42" i="1"/>
  <c r="X42" i="1"/>
  <c r="U42" i="1"/>
  <c r="Q42" i="1"/>
  <c r="K42" i="1"/>
  <c r="J42" i="1"/>
  <c r="M42" i="1" s="1"/>
  <c r="H42" i="1"/>
  <c r="Z41" i="1"/>
  <c r="U41" i="1"/>
  <c r="Q41" i="1"/>
  <c r="M41" i="1"/>
  <c r="L41" i="1"/>
  <c r="K41" i="1"/>
  <c r="J41" i="1"/>
  <c r="AI41" i="1" s="1"/>
  <c r="H41" i="1"/>
  <c r="Z40" i="1"/>
  <c r="U40" i="1"/>
  <c r="L40" i="1"/>
  <c r="K40" i="1"/>
  <c r="J40" i="1"/>
  <c r="AG40" i="1" s="1"/>
  <c r="H40" i="1"/>
  <c r="Z39" i="1"/>
  <c r="U39" i="1"/>
  <c r="K39" i="1"/>
  <c r="J39" i="1"/>
  <c r="L39" i="1" s="1"/>
  <c r="H39" i="1"/>
  <c r="AJ38" i="1"/>
  <c r="Z38" i="1"/>
  <c r="U38" i="1"/>
  <c r="Q38" i="1"/>
  <c r="M38" i="1"/>
  <c r="H38" i="1"/>
  <c r="Z37" i="1"/>
  <c r="X37" i="1"/>
  <c r="U37" i="1"/>
  <c r="Q37" i="1"/>
  <c r="L37" i="1" s="1"/>
  <c r="M37" i="1"/>
  <c r="K37" i="1"/>
  <c r="H37" i="1"/>
  <c r="Z36" i="1"/>
  <c r="U36" i="1"/>
  <c r="Q36" i="1"/>
  <c r="H36" i="1"/>
  <c r="Z35" i="1"/>
  <c r="U35" i="1"/>
  <c r="Q35" i="1"/>
  <c r="K35" i="1"/>
  <c r="J35" i="1"/>
  <c r="AK35" i="1" s="1"/>
  <c r="H35" i="1"/>
  <c r="AJ34" i="1"/>
  <c r="Z34" i="1"/>
  <c r="U34" i="1"/>
  <c r="Q34" i="1"/>
  <c r="K34" i="1"/>
  <c r="J34" i="1"/>
  <c r="AG34" i="1" s="1"/>
  <c r="H34" i="1"/>
  <c r="Z33" i="1"/>
  <c r="U33" i="1"/>
  <c r="K33" i="1"/>
  <c r="J33" i="1"/>
  <c r="H33" i="1"/>
  <c r="Z32" i="1"/>
  <c r="U32" i="1"/>
  <c r="Q32" i="1"/>
  <c r="L32" i="1" s="1"/>
  <c r="M32" i="1" s="1"/>
  <c r="K32" i="1"/>
  <c r="J32" i="1"/>
  <c r="X32" i="1" s="1"/>
  <c r="H32" i="1"/>
  <c r="AI31" i="1"/>
  <c r="AH31" i="1"/>
  <c r="Z31" i="1"/>
  <c r="U31" i="1"/>
  <c r="Q31" i="1"/>
  <c r="L31" i="1" s="1"/>
  <c r="M31" i="1"/>
  <c r="K31" i="1"/>
  <c r="J31" i="1"/>
  <c r="AK31" i="1" s="1"/>
  <c r="H31" i="1"/>
  <c r="Z30" i="1"/>
  <c r="U30" i="1"/>
  <c r="Q30" i="1"/>
  <c r="K30" i="1"/>
  <c r="J30" i="1"/>
  <c r="AI30" i="1" s="1"/>
  <c r="H30" i="1"/>
  <c r="Z29" i="1"/>
  <c r="U29" i="1"/>
  <c r="L29" i="1"/>
  <c r="K29" i="1"/>
  <c r="J29" i="1"/>
  <c r="H29" i="1"/>
  <c r="Z28" i="1"/>
  <c r="U28" i="1"/>
  <c r="K28" i="1"/>
  <c r="J28" i="1"/>
  <c r="H28" i="1"/>
  <c r="AI27" i="1"/>
  <c r="AH27" i="1"/>
  <c r="AG27" i="1"/>
  <c r="Z27" i="1"/>
  <c r="X27" i="1" s="1"/>
  <c r="U27" i="1"/>
  <c r="L27" i="1"/>
  <c r="K27" i="1"/>
  <c r="J27" i="1"/>
  <c r="AK27" i="1" s="1"/>
  <c r="H27" i="1"/>
  <c r="Z26" i="1"/>
  <c r="U26" i="1"/>
  <c r="Q26" i="1"/>
  <c r="K26" i="1"/>
  <c r="J26" i="1"/>
  <c r="H26" i="1"/>
  <c r="Z25" i="1"/>
  <c r="U25" i="1"/>
  <c r="Q25" i="1"/>
  <c r="L25" i="1" s="1"/>
  <c r="M25" i="1"/>
  <c r="K25" i="1"/>
  <c r="J25" i="1"/>
  <c r="H25" i="1"/>
  <c r="Z24" i="1"/>
  <c r="U24" i="1"/>
  <c r="M24" i="1" s="1"/>
  <c r="K24" i="1"/>
  <c r="J24" i="1"/>
  <c r="H24" i="1"/>
  <c r="Z23" i="1"/>
  <c r="X23" i="1"/>
  <c r="U23" i="1"/>
  <c r="M23" i="1"/>
  <c r="K23" i="1"/>
  <c r="J23" i="1"/>
  <c r="AK23" i="1" s="1"/>
  <c r="H23" i="1"/>
  <c r="AH22" i="1"/>
  <c r="Z22" i="1"/>
  <c r="U22" i="1"/>
  <c r="H22" i="1"/>
  <c r="Z21" i="1"/>
  <c r="U21" i="1"/>
  <c r="Q21" i="1"/>
  <c r="K21" i="1"/>
  <c r="J21" i="1"/>
  <c r="AK21" i="1" s="1"/>
  <c r="H21" i="1"/>
  <c r="Z20" i="1"/>
  <c r="U20" i="1"/>
  <c r="Q20" i="1"/>
  <c r="K20" i="1"/>
  <c r="J20" i="1"/>
  <c r="H20" i="1"/>
  <c r="AK19" i="1"/>
  <c r="AJ19" i="1"/>
  <c r="AI19" i="1"/>
  <c r="AH19" i="1"/>
  <c r="Z19" i="1"/>
  <c r="U19" i="1"/>
  <c r="K19" i="1"/>
  <c r="J19" i="1"/>
  <c r="X19" i="1" s="1"/>
  <c r="H19" i="1"/>
  <c r="Z18" i="1"/>
  <c r="U18" i="1"/>
  <c r="K18" i="1"/>
  <c r="J18" i="1"/>
  <c r="AG18" i="1" s="1"/>
  <c r="H18" i="1"/>
  <c r="Z17" i="1"/>
  <c r="U17" i="1"/>
  <c r="K17" i="1"/>
  <c r="J17" i="1"/>
  <c r="H17" i="1"/>
  <c r="AJ16" i="1"/>
  <c r="AI16" i="1"/>
  <c r="Z16" i="1"/>
  <c r="U16" i="1"/>
  <c r="K16" i="1"/>
  <c r="J16" i="1"/>
  <c r="H16" i="1"/>
  <c r="AJ15" i="1"/>
  <c r="AI15" i="1"/>
  <c r="AH15" i="1"/>
  <c r="AG15" i="1"/>
  <c r="Z15" i="1"/>
  <c r="U15" i="1"/>
  <c r="K15" i="1"/>
  <c r="J15" i="1"/>
  <c r="X15" i="1" s="1"/>
  <c r="H15" i="1"/>
  <c r="Z14" i="1"/>
  <c r="U14" i="1"/>
  <c r="K14" i="1"/>
  <c r="J14" i="1"/>
  <c r="H14" i="1"/>
  <c r="AK13" i="1"/>
  <c r="Z13" i="1"/>
  <c r="U13" i="1"/>
  <c r="L13" i="1"/>
  <c r="M13" i="1" s="1"/>
  <c r="K13" i="1"/>
  <c r="J13" i="1"/>
  <c r="AJ13" i="1" s="1"/>
  <c r="H13" i="1"/>
  <c r="AI12" i="1"/>
  <c r="AH12" i="1"/>
  <c r="Z12" i="1"/>
  <c r="U12" i="1"/>
  <c r="K12" i="1"/>
  <c r="J12" i="1"/>
  <c r="H12" i="1"/>
  <c r="AK11" i="1"/>
  <c r="AJ11" i="1"/>
  <c r="AI11" i="1"/>
  <c r="AH11" i="1"/>
  <c r="AG11" i="1"/>
  <c r="Z11" i="1"/>
  <c r="U11" i="1"/>
  <c r="K11" i="1"/>
  <c r="J11" i="1"/>
  <c r="M11" i="1" s="1"/>
  <c r="H11" i="1"/>
  <c r="Z10" i="1"/>
  <c r="U10" i="1"/>
  <c r="Q10" i="1"/>
  <c r="K10" i="1"/>
  <c r="J10" i="1"/>
  <c r="AI10" i="1" s="1"/>
  <c r="H10" i="1"/>
  <c r="Z9" i="1"/>
  <c r="X9" i="1" s="1"/>
  <c r="U9" i="1"/>
  <c r="Q9" i="1"/>
  <c r="K9" i="1"/>
  <c r="J9" i="1"/>
  <c r="L9" i="1" s="1"/>
  <c r="M9" i="1" s="1"/>
  <c r="H9" i="1"/>
  <c r="Z8" i="1"/>
  <c r="U8" i="1"/>
  <c r="Q8" i="1"/>
  <c r="K8" i="1"/>
  <c r="J8" i="1"/>
  <c r="L8" i="1" s="1"/>
  <c r="M8" i="1" s="1"/>
  <c r="H8" i="1"/>
  <c r="Z7" i="1"/>
  <c r="U7" i="1"/>
  <c r="K7" i="1"/>
  <c r="J7" i="1"/>
  <c r="H7" i="1"/>
  <c r="AI6" i="1"/>
  <c r="Z6" i="1"/>
  <c r="U6" i="1"/>
  <c r="J6" i="1"/>
  <c r="H6" i="1"/>
  <c r="AJ5" i="1"/>
  <c r="AI5" i="1"/>
  <c r="AH5" i="1"/>
  <c r="AG5" i="1"/>
  <c r="Z5" i="1"/>
  <c r="X5" i="1" s="1"/>
  <c r="U5" i="1"/>
  <c r="K5" i="1"/>
  <c r="J5" i="1"/>
  <c r="AK5" i="1" s="1"/>
  <c r="H5" i="1"/>
  <c r="Z4" i="1"/>
  <c r="U4" i="1"/>
  <c r="K4" i="1"/>
  <c r="J4" i="1"/>
  <c r="H4" i="1"/>
  <c r="Z3" i="1"/>
  <c r="U3" i="1"/>
  <c r="K3" i="1"/>
  <c r="J3" i="1"/>
  <c r="H3" i="1"/>
  <c r="AF2" i="1"/>
  <c r="AE2" i="1"/>
  <c r="AK9" i="1" s="1"/>
  <c r="AD2" i="1"/>
  <c r="AC2" i="1"/>
  <c r="AB2" i="1"/>
  <c r="AH43" i="1" s="1"/>
  <c r="AA2" i="1"/>
  <c r="AG9" i="1" s="1"/>
  <c r="Z2" i="1"/>
  <c r="U2" i="1"/>
  <c r="K2" i="1"/>
  <c r="J2" i="1"/>
  <c r="H2" i="1"/>
  <c r="W1" i="1"/>
  <c r="AJ426" i="1" s="1"/>
  <c r="V685" i="1"/>
  <c r="V684" i="1"/>
  <c r="V682" i="1"/>
  <c r="V672" i="1"/>
  <c r="V670" i="1"/>
  <c r="V669" i="1"/>
  <c r="V668" i="1"/>
  <c r="V640" i="1"/>
  <c r="V638" i="1"/>
  <c r="V636" i="1"/>
  <c r="V635" i="1"/>
  <c r="V634" i="1"/>
  <c r="V624" i="1"/>
  <c r="V622" i="1"/>
  <c r="V603" i="1"/>
  <c r="V602" i="1"/>
  <c r="V590" i="1"/>
  <c r="V589" i="1"/>
  <c r="V588" i="1"/>
  <c r="V587" i="1"/>
  <c r="V586" i="1"/>
  <c r="V557" i="1"/>
  <c r="V556" i="1"/>
  <c r="V554" i="1"/>
  <c r="V544" i="1"/>
  <c r="V542" i="1"/>
  <c r="V541" i="1"/>
  <c r="V540" i="1"/>
  <c r="V512" i="1"/>
  <c r="V510" i="1"/>
  <c r="V508" i="1"/>
  <c r="V507" i="1"/>
  <c r="V506" i="1"/>
  <c r="V496" i="1"/>
  <c r="V494" i="1"/>
  <c r="V475" i="1"/>
  <c r="V474" i="1"/>
  <c r="V462" i="1"/>
  <c r="V461" i="1"/>
  <c r="V460" i="1"/>
  <c r="V459" i="1"/>
  <c r="V458" i="1"/>
  <c r="V429" i="1"/>
  <c r="V428" i="1"/>
  <c r="V426" i="1"/>
  <c r="V416" i="1"/>
  <c r="V414" i="1"/>
  <c r="V413" i="1"/>
  <c r="V412" i="1"/>
  <c r="V384" i="1"/>
  <c r="V382" i="1"/>
  <c r="V380" i="1"/>
  <c r="V379" i="1"/>
  <c r="V378" i="1"/>
  <c r="V368" i="1"/>
  <c r="V366" i="1"/>
  <c r="V347" i="1"/>
  <c r="V346" i="1"/>
  <c r="V334" i="1"/>
  <c r="V333" i="1"/>
  <c r="V332" i="1"/>
  <c r="V331" i="1"/>
  <c r="V330" i="1"/>
  <c r="V301" i="1"/>
  <c r="V300" i="1"/>
  <c r="V298" i="1"/>
  <c r="V288" i="1"/>
  <c r="V286" i="1"/>
  <c r="V285" i="1"/>
  <c r="V284" i="1"/>
  <c r="V256" i="1"/>
  <c r="V254" i="1"/>
  <c r="V252" i="1"/>
  <c r="V251" i="1"/>
  <c r="V250" i="1"/>
  <c r="V240" i="1"/>
  <c r="V238" i="1"/>
  <c r="V220" i="1"/>
  <c r="V219" i="1"/>
  <c r="V208" i="1"/>
  <c r="V207" i="1"/>
  <c r="V206" i="1"/>
  <c r="V205" i="1"/>
  <c r="V204" i="1"/>
  <c r="V186" i="1"/>
  <c r="V176" i="1"/>
  <c r="V174" i="1"/>
  <c r="V173" i="1"/>
  <c r="V172" i="1"/>
  <c r="V171" i="1"/>
  <c r="V170" i="1"/>
  <c r="V143" i="1"/>
  <c r="V142" i="1"/>
  <c r="V140" i="1"/>
  <c r="V139" i="1"/>
  <c r="V138" i="1"/>
  <c r="V128" i="1"/>
  <c r="V127" i="1"/>
  <c r="V109" i="1"/>
  <c r="V108" i="1"/>
  <c r="V106" i="1"/>
  <c r="V96" i="1"/>
  <c r="V95" i="1"/>
  <c r="V94" i="1"/>
  <c r="V93" i="1"/>
  <c r="V75" i="1"/>
  <c r="V74" i="1"/>
  <c r="V63" i="1"/>
  <c r="V62" i="1"/>
  <c r="V61" i="1"/>
  <c r="V60" i="1"/>
  <c r="V59" i="1"/>
  <c r="V32" i="1"/>
  <c r="V31" i="1"/>
  <c r="V29" i="1"/>
  <c r="V28" i="1"/>
  <c r="V27" i="1"/>
  <c r="V26" i="1"/>
  <c r="V16" i="1"/>
  <c r="V1" i="1" a="1"/>
  <c r="V686" i="1" s="1"/>
  <c r="M279" i="1" l="1" a="1"/>
  <c r="M279" i="1" s="1"/>
  <c r="AG19" i="1"/>
  <c r="AK20" i="1"/>
  <c r="M27" i="1" a="1"/>
  <c r="M27" i="1" s="1"/>
  <c r="M29" i="1" a="1"/>
  <c r="M29" i="1" s="1"/>
  <c r="AK32" i="1"/>
  <c r="AG53" i="1"/>
  <c r="AK63" i="1"/>
  <c r="AK77" i="1"/>
  <c r="AG86" i="1"/>
  <c r="M89" i="1"/>
  <c r="AG104" i="1"/>
  <c r="M109" i="1"/>
  <c r="M180" i="1" a="1"/>
  <c r="M180" i="1" s="1"/>
  <c r="M374" i="1"/>
  <c r="AK38" i="1"/>
  <c r="AI113" i="1"/>
  <c r="AG133" i="1"/>
  <c r="M156" i="1"/>
  <c r="AG161" i="1"/>
  <c r="X223" i="1"/>
  <c r="M273" i="1"/>
  <c r="M287" i="1"/>
  <c r="M341" i="1" a="1"/>
  <c r="M341" i="1" s="1"/>
  <c r="M393" i="1"/>
  <c r="M458" i="1" a="1"/>
  <c r="M458" i="1" s="1"/>
  <c r="M485" i="1" a="1"/>
  <c r="M485" i="1" s="1"/>
  <c r="M499" i="1" a="1"/>
  <c r="M499" i="1" s="1"/>
  <c r="M531" i="1"/>
  <c r="M573" i="1"/>
  <c r="M655" i="1"/>
  <c r="L193" i="1"/>
  <c r="M193" i="1" s="1"/>
  <c r="M348" i="1"/>
  <c r="M463" i="1"/>
  <c r="X10" i="1"/>
  <c r="AG12" i="1"/>
  <c r="AG16" i="1"/>
  <c r="M18" i="1"/>
  <c r="X20" i="1"/>
  <c r="AG23" i="1"/>
  <c r="AJ27" i="1"/>
  <c r="L30" i="1"/>
  <c r="AJ31" i="1"/>
  <c r="AK46" i="1"/>
  <c r="L57" i="1"/>
  <c r="AK68" i="1"/>
  <c r="L71" i="1"/>
  <c r="M71" i="1" s="1"/>
  <c r="AK82" i="1"/>
  <c r="AH92" i="1"/>
  <c r="AJ109" i="1"/>
  <c r="M129" i="1"/>
  <c r="X144" i="1"/>
  <c r="AI146" i="1"/>
  <c r="M167" i="1"/>
  <c r="L209" i="1"/>
  <c r="M209" i="1" s="1"/>
  <c r="L217" i="1"/>
  <c r="L219" i="1"/>
  <c r="X242" i="1"/>
  <c r="M308" i="1"/>
  <c r="L383" i="1"/>
  <c r="M383" i="1" s="1"/>
  <c r="M450" i="1"/>
  <c r="M469" i="1"/>
  <c r="M521" i="1"/>
  <c r="L540" i="1"/>
  <c r="L571" i="1"/>
  <c r="L597" i="1"/>
  <c r="L615" i="1"/>
  <c r="L684" i="1"/>
  <c r="M684" i="1" s="1"/>
  <c r="L699" i="1"/>
  <c r="M699" i="1" s="1"/>
  <c r="L64" i="1"/>
  <c r="AK203" i="1"/>
  <c r="AG421" i="1"/>
  <c r="AJ21" i="1"/>
  <c r="AH23" i="1"/>
  <c r="AI35" i="1"/>
  <c r="AG37" i="1"/>
  <c r="M57" i="1"/>
  <c r="AI92" i="1"/>
  <c r="AI97" i="1"/>
  <c r="X119" i="1"/>
  <c r="M132" i="1"/>
  <c r="L181" i="1"/>
  <c r="L183" i="1"/>
  <c r="M183" i="1" s="1" a="1"/>
  <c r="M183" i="1" s="1"/>
  <c r="L186" i="1"/>
  <c r="L215" i="1"/>
  <c r="L232" i="1"/>
  <c r="L235" i="1"/>
  <c r="M235" i="1" s="1"/>
  <c r="AG237" i="1"/>
  <c r="L245" i="1"/>
  <c r="M245" i="1" s="1"/>
  <c r="L326" i="1"/>
  <c r="L336" i="1"/>
  <c r="M336" i="1" s="1"/>
  <c r="L342" i="1"/>
  <c r="L352" i="1"/>
  <c r="M352" i="1" s="1"/>
  <c r="M372" i="1"/>
  <c r="L475" i="1"/>
  <c r="L478" i="1"/>
  <c r="L517" i="1"/>
  <c r="L527" i="1"/>
  <c r="L582" i="1"/>
  <c r="M650" i="1"/>
  <c r="AK73" i="1"/>
  <c r="L105" i="1"/>
  <c r="L129" i="1"/>
  <c r="L265" i="1"/>
  <c r="M427" i="1"/>
  <c r="M483" i="1"/>
  <c r="AH6" i="1"/>
  <c r="AH10" i="1"/>
  <c r="L12" i="1"/>
  <c r="L20" i="1"/>
  <c r="M20" i="1" s="1"/>
  <c r="X30" i="1"/>
  <c r="AJ35" i="1"/>
  <c r="AI37" i="1"/>
  <c r="AG41" i="1"/>
  <c r="AI62" i="1"/>
  <c r="AG83" i="1"/>
  <c r="AK97" i="1"/>
  <c r="AH100" i="1"/>
  <c r="AI105" i="1"/>
  <c r="L132" i="1"/>
  <c r="X142" i="1"/>
  <c r="M181" i="1"/>
  <c r="AG212" i="1"/>
  <c r="L227" i="1"/>
  <c r="AI237" i="1"/>
  <c r="L288" i="1"/>
  <c r="M288" i="1" s="1"/>
  <c r="L315" i="1"/>
  <c r="AI396" i="1"/>
  <c r="M413" i="1"/>
  <c r="L560" i="1"/>
  <c r="L589" i="1"/>
  <c r="M623" i="1"/>
  <c r="L659" i="1"/>
  <c r="M659" i="1" s="1"/>
  <c r="L667" i="1"/>
  <c r="M667" i="1" s="1"/>
  <c r="M551" i="1"/>
  <c r="M702" i="1"/>
  <c r="M6" i="1"/>
  <c r="L34" i="1"/>
  <c r="AJ37" i="1"/>
  <c r="AH41" i="1"/>
  <c r="L43" i="1"/>
  <c r="AJ59" i="1"/>
  <c r="AJ62" i="1"/>
  <c r="AG71" i="1"/>
  <c r="AJ105" i="1"/>
  <c r="AG119" i="1"/>
  <c r="L122" i="1"/>
  <c r="L165" i="1"/>
  <c r="AI212" i="1"/>
  <c r="L321" i="1"/>
  <c r="L364" i="1"/>
  <c r="L378" i="1"/>
  <c r="AJ396" i="1"/>
  <c r="L487" i="1"/>
  <c r="L535" i="1"/>
  <c r="L577" i="1"/>
  <c r="M577" i="1" s="1" a="1"/>
  <c r="M577" i="1" s="1"/>
  <c r="L595" i="1"/>
  <c r="M595" i="1" s="1"/>
  <c r="L328" i="1"/>
  <c r="M328" i="1" s="1"/>
  <c r="L369" i="1"/>
  <c r="AH16" i="1"/>
  <c r="AI24" i="1"/>
  <c r="AG30" i="1"/>
  <c r="M34" i="1"/>
  <c r="X67" i="1"/>
  <c r="AH71" i="1"/>
  <c r="M81" i="1"/>
  <c r="M83" i="1"/>
  <c r="AH98" i="1"/>
  <c r="AK105" i="1"/>
  <c r="AI119" i="1"/>
  <c r="M125" i="1" a="1"/>
  <c r="M125" i="1" s="1"/>
  <c r="M168" i="1" a="1"/>
  <c r="M168" i="1" s="1"/>
  <c r="AG183" i="1"/>
  <c r="L204" i="1"/>
  <c r="L255" i="1"/>
  <c r="M255" i="1" s="1" a="1"/>
  <c r="M255" i="1" s="1"/>
  <c r="M266" i="1"/>
  <c r="L334" i="1"/>
  <c r="M384" i="1"/>
  <c r="L515" i="1"/>
  <c r="L621" i="1"/>
  <c r="L682" i="1"/>
  <c r="M682" i="1" s="1"/>
  <c r="M685" i="1"/>
  <c r="L10" i="1"/>
  <c r="M10" i="1" s="1"/>
  <c r="L310" i="1"/>
  <c r="L398" i="1"/>
  <c r="M398" i="1" s="1" a="1"/>
  <c r="M398" i="1" s="1"/>
  <c r="L447" i="1"/>
  <c r="M447" i="1" s="1"/>
  <c r="L505" i="1"/>
  <c r="X22" i="1"/>
  <c r="AH30" i="1"/>
  <c r="M40" i="1" a="1"/>
  <c r="M40" i="1" s="1"/>
  <c r="X43" i="1"/>
  <c r="AG45" i="1"/>
  <c r="AJ49" i="1"/>
  <c r="X108" i="1"/>
  <c r="M110" i="1"/>
  <c r="M115" i="1"/>
  <c r="AG117" i="1"/>
  <c r="X125" i="1"/>
  <c r="AK137" i="1"/>
  <c r="AI140" i="1"/>
  <c r="AI157" i="1"/>
  <c r="M163" i="1"/>
  <c r="M174" i="1"/>
  <c r="AG227" i="1"/>
  <c r="M392" i="1"/>
  <c r="M402" i="1"/>
  <c r="M405" i="1"/>
  <c r="M530" i="1"/>
  <c r="M538" i="1"/>
  <c r="AK140" i="1"/>
  <c r="L237" i="1"/>
  <c r="M396" i="1"/>
  <c r="AG20" i="1"/>
  <c r="AG67" i="1"/>
  <c r="AJ6" i="1"/>
  <c r="AJ12" i="1"/>
  <c r="AK16" i="1"/>
  <c r="M19" i="1"/>
  <c r="AH20" i="1"/>
  <c r="AI22" i="1"/>
  <c r="X36" i="1"/>
  <c r="X40" i="1"/>
  <c r="AI45" i="1"/>
  <c r="AG65" i="1"/>
  <c r="AH67" i="1"/>
  <c r="L91" i="1"/>
  <c r="X115" i="1"/>
  <c r="AJ117" i="1"/>
  <c r="AH125" i="1"/>
  <c r="AJ165" i="1"/>
  <c r="AG253" i="1"/>
  <c r="L264" i="1"/>
  <c r="AI286" i="1"/>
  <c r="L476" i="1"/>
  <c r="L482" i="1"/>
  <c r="L520" i="1"/>
  <c r="L528" i="1"/>
  <c r="L608" i="1"/>
  <c r="AK49" i="1"/>
  <c r="AI43" i="1"/>
  <c r="AK6" i="1"/>
  <c r="X11" i="1"/>
  <c r="AK12" i="1"/>
  <c r="AI20" i="1"/>
  <c r="AK22" i="1"/>
  <c r="AJ24" i="1"/>
  <c r="L42" i="1"/>
  <c r="AH77" i="1"/>
  <c r="X86" i="1"/>
  <c r="X96" i="1"/>
  <c r="AI125" i="1"/>
  <c r="AH150" i="1"/>
  <c r="AI174" i="1"/>
  <c r="AH253" i="1"/>
  <c r="L309" i="1"/>
  <c r="M327" i="1"/>
  <c r="AJ384" i="1"/>
  <c r="L387" i="1"/>
  <c r="M423" i="1"/>
  <c r="L544" i="1"/>
  <c r="L660" i="1"/>
  <c r="M660" i="1" s="1"/>
  <c r="AJ9" i="1"/>
  <c r="AK17" i="1"/>
  <c r="AJ20" i="1"/>
  <c r="AK24" i="1"/>
  <c r="AI34" i="1"/>
  <c r="AH36" i="1"/>
  <c r="AI38" i="1"/>
  <c r="M56" i="1"/>
  <c r="AI77" i="1"/>
  <c r="M82" i="1"/>
  <c r="X84" i="1"/>
  <c r="AI150" i="1"/>
  <c r="AK174" i="1"/>
  <c r="AK197" i="1"/>
  <c r="L216" i="1"/>
  <c r="M216" i="1" s="1" a="1"/>
  <c r="M216" i="1" s="1"/>
  <c r="L223" i="1"/>
  <c r="AK253" i="1"/>
  <c r="L316" i="1"/>
  <c r="X395" i="1"/>
  <c r="L513" i="1"/>
  <c r="L583" i="1"/>
  <c r="M698" i="1"/>
  <c r="AK102" i="1"/>
  <c r="AJ102" i="1"/>
  <c r="AI102" i="1"/>
  <c r="AH102" i="1"/>
  <c r="AG102" i="1"/>
  <c r="X102" i="1"/>
  <c r="L102" i="1"/>
  <c r="V30" i="1"/>
  <c r="V64" i="1"/>
  <c r="V107" i="1"/>
  <c r="V141" i="1"/>
  <c r="V175" i="1"/>
  <c r="V218" i="1"/>
  <c r="V253" i="1"/>
  <c r="V299" i="1"/>
  <c r="V336" i="1"/>
  <c r="V381" i="1"/>
  <c r="V427" i="1"/>
  <c r="V464" i="1"/>
  <c r="V509" i="1"/>
  <c r="V555" i="1"/>
  <c r="V592" i="1"/>
  <c r="V637" i="1"/>
  <c r="V683" i="1"/>
  <c r="AK64" i="1"/>
  <c r="AJ64" i="1"/>
  <c r="AI64" i="1"/>
  <c r="AH64" i="1"/>
  <c r="AG64" i="1"/>
  <c r="X64" i="1"/>
  <c r="M26" i="1"/>
  <c r="AK26" i="1"/>
  <c r="AJ26" i="1"/>
  <c r="AI26" i="1"/>
  <c r="AH26" i="1"/>
  <c r="AG26" i="1"/>
  <c r="X26" i="1"/>
  <c r="AI2" i="1"/>
  <c r="AH2" i="1"/>
  <c r="AG2" i="1"/>
  <c r="X2" i="1"/>
  <c r="V42" i="1"/>
  <c r="V76" i="1"/>
  <c r="V110" i="1"/>
  <c r="V144" i="1"/>
  <c r="V187" i="1"/>
  <c r="V221" i="1"/>
  <c r="V266" i="1"/>
  <c r="V302" i="1"/>
  <c r="V348" i="1"/>
  <c r="V394" i="1"/>
  <c r="V430" i="1"/>
  <c r="V476" i="1"/>
  <c r="V522" i="1"/>
  <c r="V558" i="1"/>
  <c r="V604" i="1"/>
  <c r="V650" i="1"/>
  <c r="AK29" i="1"/>
  <c r="AJ29" i="1"/>
  <c r="AI29" i="1"/>
  <c r="AH29" i="1"/>
  <c r="X29" i="1"/>
  <c r="AG29" i="1"/>
  <c r="AK52" i="1"/>
  <c r="AJ52" i="1"/>
  <c r="AI52" i="1"/>
  <c r="AH52" i="1"/>
  <c r="AG52" i="1"/>
  <c r="X52" i="1"/>
  <c r="L52" i="1"/>
  <c r="M52" i="1" s="1" a="1"/>
  <c r="M52" i="1" s="1"/>
  <c r="AI173" i="1"/>
  <c r="AG173" i="1"/>
  <c r="X173" i="1"/>
  <c r="AK173" i="1"/>
  <c r="AJ173" i="1"/>
  <c r="AH173" i="1"/>
  <c r="AK617" i="1"/>
  <c r="AJ617" i="1"/>
  <c r="AI617" i="1"/>
  <c r="AH617" i="1"/>
  <c r="AG617" i="1"/>
  <c r="X617" i="1"/>
  <c r="L617" i="1"/>
  <c r="M617" i="1" s="1"/>
  <c r="AK3" i="1"/>
  <c r="AJ3" i="1"/>
  <c r="AI3" i="1"/>
  <c r="AH3" i="1"/>
  <c r="AG3" i="1"/>
  <c r="X3" i="1"/>
  <c r="L3" i="1"/>
  <c r="M3" i="1" s="1"/>
  <c r="X106" i="1"/>
  <c r="AK106" i="1"/>
  <c r="AJ106" i="1"/>
  <c r="AI106" i="1"/>
  <c r="AH106" i="1"/>
  <c r="AG106" i="1"/>
  <c r="M173" i="1"/>
  <c r="AG4" i="1"/>
  <c r="AK4" i="1"/>
  <c r="AJ4" i="1"/>
  <c r="AI4" i="1"/>
  <c r="AH4" i="1"/>
  <c r="X4" i="1"/>
  <c r="V697" i="1"/>
  <c r="V681" i="1"/>
  <c r="V665" i="1"/>
  <c r="V649" i="1"/>
  <c r="V633" i="1"/>
  <c r="V617" i="1"/>
  <c r="V601" i="1"/>
  <c r="V585" i="1"/>
  <c r="V569" i="1"/>
  <c r="V553" i="1"/>
  <c r="V537" i="1"/>
  <c r="V521" i="1"/>
  <c r="V505" i="1"/>
  <c r="V489" i="1"/>
  <c r="V473" i="1"/>
  <c r="V457" i="1"/>
  <c r="V441" i="1"/>
  <c r="V425" i="1"/>
  <c r="V409" i="1"/>
  <c r="V393" i="1"/>
  <c r="V377" i="1"/>
  <c r="V361" i="1"/>
  <c r="V345" i="1"/>
  <c r="V329" i="1"/>
  <c r="V313" i="1"/>
  <c r="V297" i="1"/>
  <c r="V281" i="1"/>
  <c r="V265" i="1"/>
  <c r="V249" i="1"/>
  <c r="V233" i="1"/>
  <c r="V217" i="1"/>
  <c r="V201" i="1"/>
  <c r="V185" i="1"/>
  <c r="V169" i="1"/>
  <c r="V153" i="1"/>
  <c r="V137" i="1"/>
  <c r="V121" i="1"/>
  <c r="V105" i="1"/>
  <c r="V89" i="1"/>
  <c r="V73" i="1"/>
  <c r="V57" i="1"/>
  <c r="V41" i="1"/>
  <c r="V25" i="1"/>
  <c r="V9" i="1"/>
  <c r="V696" i="1"/>
  <c r="V680" i="1"/>
  <c r="V664" i="1"/>
  <c r="V648" i="1"/>
  <c r="V632" i="1"/>
  <c r="V616" i="1"/>
  <c r="V600" i="1"/>
  <c r="V584" i="1"/>
  <c r="V568" i="1"/>
  <c r="V552" i="1"/>
  <c r="V536" i="1"/>
  <c r="V520" i="1"/>
  <c r="V504" i="1"/>
  <c r="V488" i="1"/>
  <c r="V472" i="1"/>
  <c r="V456" i="1"/>
  <c r="V440" i="1"/>
  <c r="V424" i="1"/>
  <c r="V408" i="1"/>
  <c r="V392" i="1"/>
  <c r="V376" i="1"/>
  <c r="V360" i="1"/>
  <c r="V344" i="1"/>
  <c r="V328" i="1"/>
  <c r="V312" i="1"/>
  <c r="V296" i="1"/>
  <c r="V280" i="1"/>
  <c r="V264" i="1"/>
  <c r="V248" i="1"/>
  <c r="V232" i="1"/>
  <c r="V216" i="1"/>
  <c r="V200" i="1"/>
  <c r="V184" i="1"/>
  <c r="V168" i="1"/>
  <c r="V152" i="1"/>
  <c r="V136" i="1"/>
  <c r="V120" i="1"/>
  <c r="V104" i="1"/>
  <c r="V88" i="1"/>
  <c r="V72" i="1"/>
  <c r="V56" i="1"/>
  <c r="V40" i="1"/>
  <c r="V24" i="1"/>
  <c r="V8" i="1"/>
  <c r="V711" i="1"/>
  <c r="V695" i="1"/>
  <c r="V679" i="1"/>
  <c r="V663" i="1"/>
  <c r="V647" i="1"/>
  <c r="V631" i="1"/>
  <c r="V615" i="1"/>
  <c r="V599" i="1"/>
  <c r="V583" i="1"/>
  <c r="V567" i="1"/>
  <c r="V551" i="1"/>
  <c r="V535" i="1"/>
  <c r="V519" i="1"/>
  <c r="V503" i="1"/>
  <c r="V487" i="1"/>
  <c r="V471" i="1"/>
  <c r="V455" i="1"/>
  <c r="V439" i="1"/>
  <c r="V423" i="1"/>
  <c r="V407" i="1"/>
  <c r="V391" i="1"/>
  <c r="V375" i="1"/>
  <c r="V359" i="1"/>
  <c r="V343" i="1"/>
  <c r="V327" i="1"/>
  <c r="V311" i="1"/>
  <c r="V295" i="1"/>
  <c r="V279" i="1"/>
  <c r="V263" i="1"/>
  <c r="V247" i="1"/>
  <c r="V231" i="1"/>
  <c r="V215" i="1"/>
  <c r="V199" i="1"/>
  <c r="V183" i="1"/>
  <c r="V167" i="1"/>
  <c r="V151" i="1"/>
  <c r="V135" i="1"/>
  <c r="V119" i="1"/>
  <c r="V103" i="1"/>
  <c r="V87" i="1"/>
  <c r="V71" i="1"/>
  <c r="V55" i="1"/>
  <c r="V39" i="1"/>
  <c r="V23" i="1"/>
  <c r="V7" i="1"/>
  <c r="V705" i="1"/>
  <c r="V689" i="1"/>
  <c r="V673" i="1"/>
  <c r="V657" i="1"/>
  <c r="V641" i="1"/>
  <c r="V625" i="1"/>
  <c r="V609" i="1"/>
  <c r="V593" i="1"/>
  <c r="V577" i="1"/>
  <c r="V561" i="1"/>
  <c r="V545" i="1"/>
  <c r="V529" i="1"/>
  <c r="V513" i="1"/>
  <c r="V497" i="1"/>
  <c r="V481" i="1"/>
  <c r="V465" i="1"/>
  <c r="V449" i="1"/>
  <c r="V433" i="1"/>
  <c r="V417" i="1"/>
  <c r="V401" i="1"/>
  <c r="V385" i="1"/>
  <c r="V369" i="1"/>
  <c r="V353" i="1"/>
  <c r="V337" i="1"/>
  <c r="V321" i="1"/>
  <c r="V305" i="1"/>
  <c r="V289" i="1"/>
  <c r="V273" i="1"/>
  <c r="V257" i="1"/>
  <c r="V241" i="1"/>
  <c r="V225" i="1"/>
  <c r="V209" i="1"/>
  <c r="V193" i="1"/>
  <c r="V177" i="1"/>
  <c r="V161" i="1"/>
  <c r="V145" i="1"/>
  <c r="V129" i="1"/>
  <c r="V113" i="1"/>
  <c r="V97" i="1"/>
  <c r="V81" i="1"/>
  <c r="V65" i="1"/>
  <c r="V49" i="1"/>
  <c r="V33" i="1"/>
  <c r="V17" i="1"/>
  <c r="V1" i="1"/>
  <c r="V710" i="1"/>
  <c r="V694" i="1"/>
  <c r="V678" i="1"/>
  <c r="V662" i="1"/>
  <c r="V646" i="1"/>
  <c r="V630" i="1"/>
  <c r="V614" i="1"/>
  <c r="V598" i="1"/>
  <c r="V582" i="1"/>
  <c r="V566" i="1"/>
  <c r="V550" i="1"/>
  <c r="V534" i="1"/>
  <c r="V518" i="1"/>
  <c r="V502" i="1"/>
  <c r="V486" i="1"/>
  <c r="V470" i="1"/>
  <c r="V454" i="1"/>
  <c r="V438" i="1"/>
  <c r="V422" i="1"/>
  <c r="V406" i="1"/>
  <c r="V390" i="1"/>
  <c r="V374" i="1"/>
  <c r="V358" i="1"/>
  <c r="V342" i="1"/>
  <c r="V326" i="1"/>
  <c r="V310" i="1"/>
  <c r="V294" i="1"/>
  <c r="V278" i="1"/>
  <c r="V262" i="1"/>
  <c r="V246" i="1"/>
  <c r="V230" i="1"/>
  <c r="V214" i="1"/>
  <c r="V198" i="1"/>
  <c r="V182" i="1"/>
  <c r="V166" i="1"/>
  <c r="V150" i="1"/>
  <c r="V134" i="1"/>
  <c r="V118" i="1"/>
  <c r="V102" i="1"/>
  <c r="V86" i="1"/>
  <c r="V70" i="1"/>
  <c r="V54" i="1"/>
  <c r="V38" i="1"/>
  <c r="V22" i="1"/>
  <c r="V6" i="1"/>
  <c r="V709" i="1"/>
  <c r="V693" i="1"/>
  <c r="V677" i="1"/>
  <c r="V661" i="1"/>
  <c r="V645" i="1"/>
  <c r="V629" i="1"/>
  <c r="V613" i="1"/>
  <c r="V597" i="1"/>
  <c r="V581" i="1"/>
  <c r="V565" i="1"/>
  <c r="V549" i="1"/>
  <c r="V533" i="1"/>
  <c r="V517" i="1"/>
  <c r="V501" i="1"/>
  <c r="V485" i="1"/>
  <c r="V469" i="1"/>
  <c r="V453" i="1"/>
  <c r="V437" i="1"/>
  <c r="V421" i="1"/>
  <c r="V405" i="1"/>
  <c r="V389" i="1"/>
  <c r="V373" i="1"/>
  <c r="V357" i="1"/>
  <c r="V341" i="1"/>
  <c r="V325" i="1"/>
  <c r="V309" i="1"/>
  <c r="V293" i="1"/>
  <c r="V277" i="1"/>
  <c r="V261" i="1"/>
  <c r="V245" i="1"/>
  <c r="V229" i="1"/>
  <c r="V213" i="1"/>
  <c r="V197" i="1"/>
  <c r="V181" i="1"/>
  <c r="V165" i="1"/>
  <c r="V149" i="1"/>
  <c r="V133" i="1"/>
  <c r="V117" i="1"/>
  <c r="V101" i="1"/>
  <c r="V85" i="1"/>
  <c r="V69" i="1"/>
  <c r="V53" i="1"/>
  <c r="V37" i="1"/>
  <c r="V21" i="1"/>
  <c r="V5" i="1"/>
  <c r="V708" i="1"/>
  <c r="V692" i="1"/>
  <c r="V676" i="1"/>
  <c r="V660" i="1"/>
  <c r="V644" i="1"/>
  <c r="V628" i="1"/>
  <c r="V612" i="1"/>
  <c r="V596" i="1"/>
  <c r="V580" i="1"/>
  <c r="V564" i="1"/>
  <c r="V548" i="1"/>
  <c r="V532" i="1"/>
  <c r="V516" i="1"/>
  <c r="V500" i="1"/>
  <c r="V484" i="1"/>
  <c r="V468" i="1"/>
  <c r="V452" i="1"/>
  <c r="V436" i="1"/>
  <c r="V420" i="1"/>
  <c r="V404" i="1"/>
  <c r="V388" i="1"/>
  <c r="V372" i="1"/>
  <c r="V356" i="1"/>
  <c r="V340" i="1"/>
  <c r="V324" i="1"/>
  <c r="V308" i="1"/>
  <c r="V292" i="1"/>
  <c r="V276" i="1"/>
  <c r="V260" i="1"/>
  <c r="V244" i="1"/>
  <c r="V228" i="1"/>
  <c r="V212" i="1"/>
  <c r="V196" i="1"/>
  <c r="V180" i="1"/>
  <c r="V164" i="1"/>
  <c r="V148" i="1"/>
  <c r="V132" i="1"/>
  <c r="V116" i="1"/>
  <c r="V100" i="1"/>
  <c r="V84" i="1"/>
  <c r="V68" i="1"/>
  <c r="V52" i="1"/>
  <c r="V36" i="1"/>
  <c r="V20" i="1"/>
  <c r="V4" i="1"/>
  <c r="V707" i="1"/>
  <c r="V691" i="1"/>
  <c r="V675" i="1"/>
  <c r="V659" i="1"/>
  <c r="V643" i="1"/>
  <c r="V627" i="1"/>
  <c r="V611" i="1"/>
  <c r="V595" i="1"/>
  <c r="V579" i="1"/>
  <c r="V563" i="1"/>
  <c r="V547" i="1"/>
  <c r="V531" i="1"/>
  <c r="V515" i="1"/>
  <c r="V499" i="1"/>
  <c r="V483" i="1"/>
  <c r="V467" i="1"/>
  <c r="V451" i="1"/>
  <c r="V435" i="1"/>
  <c r="V419" i="1"/>
  <c r="V403" i="1"/>
  <c r="V387" i="1"/>
  <c r="V371" i="1"/>
  <c r="V355" i="1"/>
  <c r="V339" i="1"/>
  <c r="V323" i="1"/>
  <c r="V307" i="1"/>
  <c r="V291" i="1"/>
  <c r="V275" i="1"/>
  <c r="V259" i="1"/>
  <c r="V243" i="1"/>
  <c r="V227" i="1"/>
  <c r="V211" i="1"/>
  <c r="V195" i="1"/>
  <c r="V179" i="1"/>
  <c r="V163" i="1"/>
  <c r="V147" i="1"/>
  <c r="V131" i="1"/>
  <c r="V115" i="1"/>
  <c r="V99" i="1"/>
  <c r="V83" i="1"/>
  <c r="V67" i="1"/>
  <c r="V51" i="1"/>
  <c r="V35" i="1"/>
  <c r="V19" i="1"/>
  <c r="V3" i="1"/>
  <c r="V706" i="1"/>
  <c r="V690" i="1"/>
  <c r="V674" i="1"/>
  <c r="V658" i="1"/>
  <c r="V642" i="1"/>
  <c r="V626" i="1"/>
  <c r="V610" i="1"/>
  <c r="V594" i="1"/>
  <c r="V578" i="1"/>
  <c r="V562" i="1"/>
  <c r="V546" i="1"/>
  <c r="V530" i="1"/>
  <c r="V514" i="1"/>
  <c r="V498" i="1"/>
  <c r="V482" i="1"/>
  <c r="V466" i="1"/>
  <c r="V450" i="1"/>
  <c r="V434" i="1"/>
  <c r="V418" i="1"/>
  <c r="V402" i="1"/>
  <c r="V386" i="1"/>
  <c r="V370" i="1"/>
  <c r="V354" i="1"/>
  <c r="V338" i="1"/>
  <c r="V322" i="1"/>
  <c r="V306" i="1"/>
  <c r="V290" i="1"/>
  <c r="V274" i="1"/>
  <c r="V258" i="1"/>
  <c r="V242" i="1"/>
  <c r="V226" i="1"/>
  <c r="V210" i="1"/>
  <c r="V194" i="1"/>
  <c r="V178" i="1"/>
  <c r="V162" i="1"/>
  <c r="V146" i="1"/>
  <c r="V130" i="1"/>
  <c r="V114" i="1"/>
  <c r="V98" i="1"/>
  <c r="V82" i="1"/>
  <c r="V66" i="1"/>
  <c r="V50" i="1"/>
  <c r="V34" i="1"/>
  <c r="V18" i="1"/>
  <c r="V2" i="1"/>
  <c r="V703" i="1"/>
  <c r="V687" i="1"/>
  <c r="V671" i="1"/>
  <c r="V655" i="1"/>
  <c r="V639" i="1"/>
  <c r="V623" i="1"/>
  <c r="V607" i="1"/>
  <c r="V591" i="1"/>
  <c r="V575" i="1"/>
  <c r="V559" i="1"/>
  <c r="V543" i="1"/>
  <c r="V527" i="1"/>
  <c r="V511" i="1"/>
  <c r="V495" i="1"/>
  <c r="V479" i="1"/>
  <c r="V463" i="1"/>
  <c r="V447" i="1"/>
  <c r="V431" i="1"/>
  <c r="V415" i="1"/>
  <c r="V399" i="1"/>
  <c r="V383" i="1"/>
  <c r="V367" i="1"/>
  <c r="V351" i="1"/>
  <c r="V335" i="1"/>
  <c r="V319" i="1"/>
  <c r="V303" i="1"/>
  <c r="V287" i="1"/>
  <c r="V271" i="1"/>
  <c r="V255" i="1"/>
  <c r="V239" i="1"/>
  <c r="V43" i="1"/>
  <c r="V77" i="1"/>
  <c r="V111" i="1"/>
  <c r="V154" i="1"/>
  <c r="V188" i="1"/>
  <c r="V222" i="1"/>
  <c r="V267" i="1"/>
  <c r="V304" i="1"/>
  <c r="V349" i="1"/>
  <c r="V395" i="1"/>
  <c r="V432" i="1"/>
  <c r="V477" i="1"/>
  <c r="V560" i="1"/>
  <c r="V605" i="1"/>
  <c r="V651" i="1"/>
  <c r="V688" i="1"/>
  <c r="L4" i="1"/>
  <c r="M4" i="1" s="1"/>
  <c r="L47" i="1"/>
  <c r="M47" i="1" s="1"/>
  <c r="L111" i="1"/>
  <c r="M111" i="1" s="1"/>
  <c r="AH121" i="1"/>
  <c r="AG121" i="1"/>
  <c r="X121" i="1"/>
  <c r="AK121" i="1"/>
  <c r="AJ121" i="1"/>
  <c r="AI121" i="1"/>
  <c r="M121" i="1"/>
  <c r="AK55" i="1"/>
  <c r="AJ55" i="1"/>
  <c r="AI55" i="1"/>
  <c r="AH55" i="1"/>
  <c r="AG55" i="1"/>
  <c r="X55" i="1"/>
  <c r="AK90" i="1"/>
  <c r="AJ90" i="1"/>
  <c r="AI90" i="1"/>
  <c r="AH90" i="1"/>
  <c r="AG90" i="1"/>
  <c r="X90" i="1"/>
  <c r="AK124" i="1"/>
  <c r="AJ124" i="1"/>
  <c r="AI124" i="1"/>
  <c r="AH124" i="1"/>
  <c r="AG124" i="1"/>
  <c r="X124" i="1"/>
  <c r="L124" i="1"/>
  <c r="AI177" i="1"/>
  <c r="AG177" i="1"/>
  <c r="X177" i="1"/>
  <c r="AH177" i="1"/>
  <c r="AK177" i="1"/>
  <c r="AJ177" i="1"/>
  <c r="AK191" i="1"/>
  <c r="AJ191" i="1"/>
  <c r="AI191" i="1"/>
  <c r="AH191" i="1"/>
  <c r="AG191" i="1"/>
  <c r="X191" i="1"/>
  <c r="L191" i="1"/>
  <c r="M191" i="1" s="1" a="1"/>
  <c r="M191" i="1" s="1"/>
  <c r="L26" i="1"/>
  <c r="AK111" i="1"/>
  <c r="AJ111" i="1"/>
  <c r="AI111" i="1"/>
  <c r="AH111" i="1"/>
  <c r="AG111" i="1"/>
  <c r="X111" i="1"/>
  <c r="V523" i="1"/>
  <c r="V10" i="1"/>
  <c r="V44" i="1"/>
  <c r="V78" i="1"/>
  <c r="V112" i="1"/>
  <c r="V155" i="1"/>
  <c r="V189" i="1"/>
  <c r="V223" i="1"/>
  <c r="V268" i="1"/>
  <c r="V314" i="1"/>
  <c r="V350" i="1"/>
  <c r="V396" i="1"/>
  <c r="V442" i="1"/>
  <c r="V478" i="1"/>
  <c r="V524" i="1"/>
  <c r="V570" i="1"/>
  <c r="V606" i="1"/>
  <c r="V652" i="1"/>
  <c r="V698" i="1"/>
  <c r="AH21" i="1"/>
  <c r="AG21" i="1"/>
  <c r="X21" i="1"/>
  <c r="V11" i="1"/>
  <c r="V45" i="1"/>
  <c r="V79" i="1"/>
  <c r="V122" i="1"/>
  <c r="V156" i="1"/>
  <c r="V190" i="1"/>
  <c r="V224" i="1"/>
  <c r="V269" i="1"/>
  <c r="V315" i="1"/>
  <c r="V352" i="1"/>
  <c r="V397" i="1"/>
  <c r="V443" i="1"/>
  <c r="V480" i="1"/>
  <c r="V525" i="1"/>
  <c r="V571" i="1"/>
  <c r="V608" i="1"/>
  <c r="V653" i="1"/>
  <c r="V699" i="1"/>
  <c r="AH18" i="1"/>
  <c r="AK18" i="1"/>
  <c r="AJ18" i="1"/>
  <c r="AI18" i="1"/>
  <c r="AK7" i="1"/>
  <c r="AJ7" i="1"/>
  <c r="AI7" i="1"/>
  <c r="M7" i="1"/>
  <c r="AH7" i="1"/>
  <c r="AG7" i="1"/>
  <c r="X7" i="1"/>
  <c r="L21" i="1"/>
  <c r="M21" i="1" s="1"/>
  <c r="L55" i="1"/>
  <c r="M55" i="1" s="1"/>
  <c r="AJ69" i="1"/>
  <c r="AI69" i="1"/>
  <c r="AH69" i="1"/>
  <c r="AG69" i="1"/>
  <c r="AK69" i="1"/>
  <c r="X69" i="1"/>
  <c r="M69" i="1"/>
  <c r="L69" i="1"/>
  <c r="M124" i="1"/>
  <c r="AK130" i="1"/>
  <c r="AJ130" i="1"/>
  <c r="AI130" i="1"/>
  <c r="AG130" i="1"/>
  <c r="X130" i="1"/>
  <c r="L130" i="1"/>
  <c r="M130" i="1" s="1" a="1"/>
  <c r="M130" i="1" s="1"/>
  <c r="AH130" i="1"/>
  <c r="L173" i="1"/>
  <c r="V12" i="1"/>
  <c r="V46" i="1"/>
  <c r="V80" i="1"/>
  <c r="V123" i="1"/>
  <c r="V157" i="1"/>
  <c r="V191" i="1"/>
  <c r="V234" i="1"/>
  <c r="V270" i="1"/>
  <c r="V316" i="1"/>
  <c r="V362" i="1"/>
  <c r="V398" i="1"/>
  <c r="V444" i="1"/>
  <c r="V490" i="1"/>
  <c r="V526" i="1"/>
  <c r="V572" i="1"/>
  <c r="V618" i="1"/>
  <c r="V654" i="1"/>
  <c r="V700" i="1"/>
  <c r="AK159" i="1"/>
  <c r="AJ159" i="1"/>
  <c r="AI159" i="1"/>
  <c r="AH159" i="1"/>
  <c r="AG159" i="1"/>
  <c r="L159" i="1"/>
  <c r="M159" i="1" s="1"/>
  <c r="L7" i="1"/>
  <c r="L2" i="1"/>
  <c r="M2" i="1" s="1"/>
  <c r="AI47" i="1"/>
  <c r="AH47" i="1"/>
  <c r="AG47" i="1"/>
  <c r="AK47" i="1"/>
  <c r="AJ47" i="1"/>
  <c r="X47" i="1"/>
  <c r="AK168" i="1"/>
  <c r="AJ168" i="1"/>
  <c r="X168" i="1"/>
  <c r="AI168" i="1"/>
  <c r="AH168" i="1"/>
  <c r="AG168" i="1"/>
  <c r="AK230" i="1"/>
  <c r="AJ230" i="1"/>
  <c r="AI230" i="1"/>
  <c r="X230" i="1"/>
  <c r="L230" i="1"/>
  <c r="M230" i="1" s="1"/>
  <c r="AH230" i="1"/>
  <c r="AG230" i="1"/>
  <c r="X14" i="1"/>
  <c r="AK14" i="1"/>
  <c r="AJ14" i="1"/>
  <c r="AI14" i="1"/>
  <c r="AH14" i="1"/>
  <c r="AG14" i="1"/>
  <c r="L33" i="1"/>
  <c r="M33" i="1" s="1"/>
  <c r="AG33" i="1"/>
  <c r="AK33" i="1"/>
  <c r="AJ33" i="1"/>
  <c r="AI33" i="1"/>
  <c r="AH33" i="1"/>
  <c r="X33" i="1"/>
  <c r="AG50" i="1"/>
  <c r="X50" i="1"/>
  <c r="AH50" i="1"/>
  <c r="AK50" i="1"/>
  <c r="AJ50" i="1"/>
  <c r="AI50" i="1"/>
  <c r="V14" i="1"/>
  <c r="V48" i="1"/>
  <c r="V91" i="1"/>
  <c r="V125" i="1"/>
  <c r="V159" i="1"/>
  <c r="V202" i="1"/>
  <c r="V236" i="1"/>
  <c r="V282" i="1"/>
  <c r="V318" i="1"/>
  <c r="V364" i="1"/>
  <c r="V410" i="1"/>
  <c r="V446" i="1"/>
  <c r="V492" i="1"/>
  <c r="V538" i="1"/>
  <c r="V574" i="1"/>
  <c r="V620" i="1"/>
  <c r="V666" i="1"/>
  <c r="V702" i="1"/>
  <c r="AJ2" i="1"/>
  <c r="AI39" i="1"/>
  <c r="AH39" i="1"/>
  <c r="AG39" i="1"/>
  <c r="M39" i="1"/>
  <c r="AK39" i="1"/>
  <c r="AJ39" i="1"/>
  <c r="X39" i="1"/>
  <c r="AK79" i="1"/>
  <c r="AJ79" i="1"/>
  <c r="AI79" i="1"/>
  <c r="AH79" i="1"/>
  <c r="X79" i="1"/>
  <c r="M79" i="1"/>
  <c r="AH88" i="1"/>
  <c r="AG88" i="1"/>
  <c r="X88" i="1"/>
  <c r="L88" i="1"/>
  <c r="M88" i="1" s="1"/>
  <c r="AK88" i="1"/>
  <c r="AI88" i="1"/>
  <c r="AK371" i="1"/>
  <c r="AI371" i="1"/>
  <c r="AG371" i="1"/>
  <c r="AJ371" i="1"/>
  <c r="AH371" i="1"/>
  <c r="X371" i="1"/>
  <c r="AK8" i="1"/>
  <c r="X8" i="1"/>
  <c r="AJ8" i="1"/>
  <c r="AI8" i="1"/>
  <c r="AH8" i="1"/>
  <c r="AG8" i="1"/>
  <c r="AK153" i="1"/>
  <c r="AJ153" i="1"/>
  <c r="AI153" i="1"/>
  <c r="AH153" i="1"/>
  <c r="AG153" i="1"/>
  <c r="X153" i="1"/>
  <c r="V13" i="1"/>
  <c r="V47" i="1"/>
  <c r="V90" i="1"/>
  <c r="V124" i="1"/>
  <c r="V158" i="1"/>
  <c r="V192" i="1"/>
  <c r="V235" i="1"/>
  <c r="V272" i="1"/>
  <c r="V317" i="1"/>
  <c r="V363" i="1"/>
  <c r="V400" i="1"/>
  <c r="V445" i="1"/>
  <c r="V491" i="1"/>
  <c r="V528" i="1"/>
  <c r="V573" i="1"/>
  <c r="V619" i="1"/>
  <c r="V656" i="1"/>
  <c r="V701" i="1"/>
  <c r="V15" i="1"/>
  <c r="V58" i="1"/>
  <c r="V92" i="1"/>
  <c r="V126" i="1"/>
  <c r="V160" i="1"/>
  <c r="V203" i="1"/>
  <c r="V237" i="1"/>
  <c r="V283" i="1"/>
  <c r="V320" i="1"/>
  <c r="V365" i="1"/>
  <c r="V411" i="1"/>
  <c r="V448" i="1"/>
  <c r="V493" i="1"/>
  <c r="V539" i="1"/>
  <c r="V576" i="1"/>
  <c r="V621" i="1"/>
  <c r="V667" i="1"/>
  <c r="V704" i="1"/>
  <c r="AK2" i="1"/>
  <c r="L14" i="1"/>
  <c r="M14" i="1" s="1"/>
  <c r="X18" i="1"/>
  <c r="AI21" i="1"/>
  <c r="AI60" i="1"/>
  <c r="AH60" i="1"/>
  <c r="AG60" i="1"/>
  <c r="X60" i="1"/>
  <c r="AK60" i="1"/>
  <c r="AJ60" i="1"/>
  <c r="AG10" i="1"/>
  <c r="AH34" i="1"/>
  <c r="AH37" i="1"/>
  <c r="AG44" i="1"/>
  <c r="AK45" i="1"/>
  <c r="AH48" i="1"/>
  <c r="AK53" i="1"/>
  <c r="AH58" i="1"/>
  <c r="AH62" i="1"/>
  <c r="X70" i="1"/>
  <c r="AK74" i="1"/>
  <c r="AJ74" i="1"/>
  <c r="AI74" i="1"/>
  <c r="AH74" i="1"/>
  <c r="AG74" i="1"/>
  <c r="X74" i="1"/>
  <c r="L74" i="1"/>
  <c r="AJ77" i="1"/>
  <c r="AI86" i="1"/>
  <c r="AG92" i="1"/>
  <c r="AG96" i="1"/>
  <c r="X100" i="1"/>
  <c r="AI109" i="1"/>
  <c r="AH117" i="1"/>
  <c r="AH119" i="1"/>
  <c r="AG128" i="1"/>
  <c r="X128" i="1"/>
  <c r="AK128" i="1"/>
  <c r="AJ128" i="1"/>
  <c r="AI128" i="1"/>
  <c r="AH128" i="1"/>
  <c r="M128" i="1"/>
  <c r="AG134" i="1"/>
  <c r="X134" i="1"/>
  <c r="AJ134" i="1"/>
  <c r="AI134" i="1"/>
  <c r="AH134" i="1"/>
  <c r="L134" i="1"/>
  <c r="M134" i="1" s="1"/>
  <c r="AJ140" i="1"/>
  <c r="AH142" i="1"/>
  <c r="AH148" i="1"/>
  <c r="AG157" i="1"/>
  <c r="AI181" i="1"/>
  <c r="AJ183" i="1"/>
  <c r="AJ188" i="1"/>
  <c r="X199" i="1"/>
  <c r="AK225" i="1"/>
  <c r="AK228" i="1"/>
  <c r="AI228" i="1"/>
  <c r="AH228" i="1"/>
  <c r="AG228" i="1"/>
  <c r="X228" i="1"/>
  <c r="AJ228" i="1"/>
  <c r="L228" i="1"/>
  <c r="M228" i="1" s="1"/>
  <c r="AG235" i="1"/>
  <c r="AJ237" i="1"/>
  <c r="AI253" i="1"/>
  <c r="AI256" i="1"/>
  <c r="AG256" i="1"/>
  <c r="X256" i="1"/>
  <c r="M256" i="1"/>
  <c r="L256" i="1"/>
  <c r="AJ256" i="1"/>
  <c r="AK256" i="1"/>
  <c r="AH256" i="1"/>
  <c r="AI285" i="1"/>
  <c r="AH285" i="1"/>
  <c r="AG285" i="1"/>
  <c r="AK285" i="1"/>
  <c r="AJ285" i="1"/>
  <c r="X285" i="1"/>
  <c r="L285" i="1"/>
  <c r="M285" i="1" s="1"/>
  <c r="AJ323" i="1"/>
  <c r="AI333" i="1"/>
  <c r="AK384" i="1"/>
  <c r="AH9" i="1"/>
  <c r="AJ10" i="1"/>
  <c r="AK15" i="1"/>
  <c r="X17" i="1"/>
  <c r="AK34" i="1"/>
  <c r="AK37" i="1"/>
  <c r="AK41" i="1"/>
  <c r="AJ41" i="1"/>
  <c r="AJ44" i="1"/>
  <c r="AK58" i="1"/>
  <c r="AK62" i="1"/>
  <c r="AI67" i="1"/>
  <c r="X72" i="1"/>
  <c r="AJ78" i="1"/>
  <c r="AK80" i="1"/>
  <c r="AJ80" i="1"/>
  <c r="AH80" i="1"/>
  <c r="AG80" i="1"/>
  <c r="X87" i="1"/>
  <c r="AJ92" i="1"/>
  <c r="AI98" i="1"/>
  <c r="AI100" i="1"/>
  <c r="AI104" i="1"/>
  <c r="X112" i="1"/>
  <c r="AK112" i="1"/>
  <c r="AJ112" i="1"/>
  <c r="AI112" i="1"/>
  <c r="AK117" i="1"/>
  <c r="AG136" i="1"/>
  <c r="X139" i="1"/>
  <c r="L139" i="1"/>
  <c r="M139" i="1" s="1"/>
  <c r="AK139" i="1"/>
  <c r="AH139" i="1"/>
  <c r="AK141" i="1"/>
  <c r="AJ141" i="1"/>
  <c r="AI141" i="1"/>
  <c r="AH141" i="1"/>
  <c r="AG141" i="1"/>
  <c r="X141" i="1"/>
  <c r="AK146" i="1"/>
  <c r="AH151" i="1"/>
  <c r="AJ157" i="1"/>
  <c r="AH162" i="1"/>
  <c r="AI199" i="1"/>
  <c r="X202" i="1"/>
  <c r="AJ212" i="1"/>
  <c r="AJ233" i="1"/>
  <c r="X250" i="1"/>
  <c r="AI287" i="1"/>
  <c r="AI321" i="1"/>
  <c r="AG70" i="1"/>
  <c r="AG199" i="1"/>
  <c r="L6" i="1"/>
  <c r="AI9" i="1"/>
  <c r="AK10" i="1"/>
  <c r="AJ22" i="1"/>
  <c r="X25" i="1"/>
  <c r="AI28" i="1"/>
  <c r="AH28" i="1"/>
  <c r="AG28" i="1"/>
  <c r="AG36" i="1"/>
  <c r="AG43" i="1"/>
  <c r="AK44" i="1"/>
  <c r="AG57" i="1"/>
  <c r="AJ67" i="1"/>
  <c r="AK71" i="1"/>
  <c r="AI71" i="1"/>
  <c r="AH81" i="1"/>
  <c r="AK89" i="1"/>
  <c r="AJ89" i="1"/>
  <c r="AI89" i="1"/>
  <c r="AH89" i="1"/>
  <c r="AG89" i="1"/>
  <c r="X89" i="1"/>
  <c r="AJ93" i="1"/>
  <c r="AI93" i="1"/>
  <c r="AH93" i="1"/>
  <c r="AG93" i="1"/>
  <c r="X93" i="1"/>
  <c r="M93" i="1"/>
  <c r="AJ98" i="1"/>
  <c r="AK104" i="1"/>
  <c r="AG108" i="1"/>
  <c r="AK114" i="1"/>
  <c r="AJ114" i="1"/>
  <c r="AH114" i="1"/>
  <c r="AG114" i="1"/>
  <c r="X114" i="1"/>
  <c r="L114" i="1"/>
  <c r="M114" i="1" s="1"/>
  <c r="X122" i="1"/>
  <c r="AG132" i="1"/>
  <c r="AK134" i="1"/>
  <c r="AI151" i="1"/>
  <c r="AK157" i="1"/>
  <c r="AI162" i="1"/>
  <c r="X164" i="1"/>
  <c r="AG166" i="1"/>
  <c r="X171" i="1"/>
  <c r="AK198" i="1"/>
  <c r="AJ199" i="1"/>
  <c r="AK233" i="1"/>
  <c r="AI261" i="1"/>
  <c r="AI277" i="1"/>
  <c r="AH304" i="1"/>
  <c r="M307" i="1"/>
  <c r="X13" i="1"/>
  <c r="AG17" i="1"/>
  <c r="AH35" i="1"/>
  <c r="AG35" i="1"/>
  <c r="X35" i="1"/>
  <c r="AH57" i="1"/>
  <c r="X59" i="1"/>
  <c r="M59" i="1"/>
  <c r="L59" i="1"/>
  <c r="AI63" i="1"/>
  <c r="AH63" i="1"/>
  <c r="AG63" i="1"/>
  <c r="X63" i="1"/>
  <c r="X66" i="1"/>
  <c r="AK67" i="1"/>
  <c r="AG72" i="1"/>
  <c r="AI81" i="1"/>
  <c r="AK98" i="1"/>
  <c r="AH108" i="1"/>
  <c r="AK118" i="1"/>
  <c r="AJ118" i="1"/>
  <c r="AI118" i="1"/>
  <c r="AH118" i="1"/>
  <c r="AG118" i="1"/>
  <c r="X118" i="1"/>
  <c r="AG126" i="1"/>
  <c r="AK131" i="1"/>
  <c r="AJ131" i="1"/>
  <c r="AI131" i="1"/>
  <c r="AH131" i="1"/>
  <c r="AG131" i="1"/>
  <c r="AH132" i="1"/>
  <c r="AH137" i="1"/>
  <c r="AG137" i="1"/>
  <c r="X137" i="1"/>
  <c r="L137" i="1"/>
  <c r="M137" i="1" s="1"/>
  <c r="AK147" i="1"/>
  <c r="AJ147" i="1"/>
  <c r="AI147" i="1"/>
  <c r="AH147" i="1"/>
  <c r="AG147" i="1"/>
  <c r="L147" i="1"/>
  <c r="M147" i="1" s="1"/>
  <c r="X147" i="1"/>
  <c r="AJ151" i="1"/>
  <c r="AJ162" i="1"/>
  <c r="AH166" i="1"/>
  <c r="AG178" i="1"/>
  <c r="AK261" i="1"/>
  <c r="AJ277" i="1"/>
  <c r="AI304" i="1"/>
  <c r="X309" i="1"/>
  <c r="AG46" i="1"/>
  <c r="X46" i="1"/>
  <c r="AH54" i="1"/>
  <c r="AG54" i="1"/>
  <c r="X54" i="1"/>
  <c r="L54" i="1"/>
  <c r="M54" i="1" s="1"/>
  <c r="AK56" i="1"/>
  <c r="AJ56" i="1"/>
  <c r="AH56" i="1"/>
  <c r="M12" i="1"/>
  <c r="AH17" i="1"/>
  <c r="X24" i="1"/>
  <c r="AG25" i="1"/>
  <c r="AK30" i="1"/>
  <c r="AJ30" i="1"/>
  <c r="AI36" i="1"/>
  <c r="X45" i="1"/>
  <c r="M45" i="1"/>
  <c r="X49" i="1"/>
  <c r="AI57" i="1"/>
  <c r="AK65" i="1"/>
  <c r="AJ65" i="1"/>
  <c r="AH65" i="1"/>
  <c r="AH72" i="1"/>
  <c r="X76" i="1"/>
  <c r="AH83" i="1"/>
  <c r="X103" i="1"/>
  <c r="AJ108" i="1"/>
  <c r="X116" i="1"/>
  <c r="AK122" i="1"/>
  <c r="AH126" i="1"/>
  <c r="L131" i="1"/>
  <c r="AI135" i="1"/>
  <c r="AH135" i="1"/>
  <c r="AG135" i="1"/>
  <c r="AK135" i="1"/>
  <c r="AJ135" i="1"/>
  <c r="X135" i="1"/>
  <c r="X150" i="1"/>
  <c r="L150" i="1"/>
  <c r="M150" i="1" s="1"/>
  <c r="AK150" i="1"/>
  <c r="AJ150" i="1"/>
  <c r="AG150" i="1"/>
  <c r="AH158" i="1"/>
  <c r="AG158" i="1"/>
  <c r="X158" i="1"/>
  <c r="AK158" i="1"/>
  <c r="AJ158" i="1"/>
  <c r="AI158" i="1"/>
  <c r="L158" i="1"/>
  <c r="M158" i="1" s="1"/>
  <c r="AK162" i="1"/>
  <c r="AG164" i="1"/>
  <c r="AG171" i="1"/>
  <c r="AI178" i="1"/>
  <c r="AG189" i="1"/>
  <c r="AH193" i="1"/>
  <c r="AH217" i="1"/>
  <c r="AH219" i="1"/>
  <c r="AK221" i="1"/>
  <c r="X231" i="1"/>
  <c r="AK234" i="1"/>
  <c r="AJ234" i="1"/>
  <c r="AI234" i="1"/>
  <c r="AH234" i="1"/>
  <c r="AG234" i="1"/>
  <c r="X234" i="1"/>
  <c r="M234" i="1"/>
  <c r="X243" i="1"/>
  <c r="AG259" i="1"/>
  <c r="AG266" i="1"/>
  <c r="AK277" i="1"/>
  <c r="X302" i="1"/>
  <c r="AJ365" i="1"/>
  <c r="X440" i="1"/>
  <c r="AG321" i="1"/>
  <c r="AG497" i="1"/>
  <c r="X6" i="1"/>
  <c r="AG13" i="1"/>
  <c r="AI17" i="1"/>
  <c r="AJ23" i="1"/>
  <c r="AI23" i="1"/>
  <c r="AH25" i="1"/>
  <c r="X28" i="1"/>
  <c r="AG32" i="1"/>
  <c r="L35" i="1"/>
  <c r="AJ36" i="1"/>
  <c r="AG42" i="1"/>
  <c r="AJ43" i="1"/>
  <c r="AK51" i="1"/>
  <c r="AJ51" i="1"/>
  <c r="AI51" i="1"/>
  <c r="AH51" i="1"/>
  <c r="AI54" i="1"/>
  <c r="X56" i="1"/>
  <c r="AK57" i="1"/>
  <c r="X61" i="1"/>
  <c r="L63" i="1"/>
  <c r="M63" i="1" s="1" a="1"/>
  <c r="M63" i="1" s="1"/>
  <c r="AG66" i="1"/>
  <c r="AG68" i="1"/>
  <c r="X68" i="1"/>
  <c r="M68" i="1"/>
  <c r="AI72" i="1"/>
  <c r="AK75" i="1"/>
  <c r="AJ75" i="1"/>
  <c r="AI75" i="1"/>
  <c r="AG75" i="1"/>
  <c r="X78" i="1"/>
  <c r="AI83" i="1"/>
  <c r="AG85" i="1"/>
  <c r="AG87" i="1"/>
  <c r="X97" i="1"/>
  <c r="AK99" i="1"/>
  <c r="AJ99" i="1"/>
  <c r="AI99" i="1"/>
  <c r="AH99" i="1"/>
  <c r="AG99" i="1"/>
  <c r="X99" i="1"/>
  <c r="AJ107" i="1"/>
  <c r="AI107" i="1"/>
  <c r="AK107" i="1"/>
  <c r="AH107" i="1"/>
  <c r="X107" i="1"/>
  <c r="AI126" i="1"/>
  <c r="M131" i="1"/>
  <c r="AG139" i="1"/>
  <c r="AI152" i="1"/>
  <c r="AH152" i="1"/>
  <c r="AG152" i="1"/>
  <c r="X152" i="1"/>
  <c r="AK152" i="1"/>
  <c r="AJ152" i="1"/>
  <c r="M152" i="1"/>
  <c r="L152" i="1"/>
  <c r="X169" i="1"/>
  <c r="AH171" i="1"/>
  <c r="X176" i="1"/>
  <c r="AK178" i="1"/>
  <c r="AI193" i="1"/>
  <c r="X207" i="1"/>
  <c r="AI217" i="1"/>
  <c r="AJ219" i="1"/>
  <c r="AJ245" i="1"/>
  <c r="AI248" i="1"/>
  <c r="AH259" i="1"/>
  <c r="AI266" i="1"/>
  <c r="AK357" i="1"/>
  <c r="AI426" i="1"/>
  <c r="L11" i="1"/>
  <c r="X12" i="1"/>
  <c r="AH13" i="1"/>
  <c r="X16" i="1"/>
  <c r="AJ17" i="1"/>
  <c r="AG24" i="1"/>
  <c r="AI25" i="1"/>
  <c r="X31" i="1"/>
  <c r="AH32" i="1"/>
  <c r="X34" i="1"/>
  <c r="M35" i="1"/>
  <c r="AH42" i="1"/>
  <c r="AK43" i="1"/>
  <c r="L45" i="1"/>
  <c r="AG49" i="1"/>
  <c r="AJ54" i="1"/>
  <c r="AG59" i="1"/>
  <c r="AH66" i="1"/>
  <c r="AJ72" i="1"/>
  <c r="AG76" i="1"/>
  <c r="AJ83" i="1"/>
  <c r="AH87" i="1"/>
  <c r="X91" i="1"/>
  <c r="AK93" i="1"/>
  <c r="AG95" i="1"/>
  <c r="AJ101" i="1"/>
  <c r="AH103" i="1"/>
  <c r="L107" i="1"/>
  <c r="M107" i="1" s="1"/>
  <c r="X109" i="1"/>
  <c r="AI114" i="1"/>
  <c r="AG116" i="1"/>
  <c r="AJ120" i="1"/>
  <c r="AK123" i="1"/>
  <c r="AJ123" i="1"/>
  <c r="AI123" i="1"/>
  <c r="AH123" i="1"/>
  <c r="AG123" i="1"/>
  <c r="X123" i="1"/>
  <c r="M123" i="1"/>
  <c r="AJ126" i="1"/>
  <c r="L135" i="1"/>
  <c r="M135" i="1" s="1"/>
  <c r="AI139" i="1"/>
  <c r="AI143" i="1"/>
  <c r="AH145" i="1"/>
  <c r="AJ171" i="1"/>
  <c r="AG185" i="1"/>
  <c r="AK193" i="1"/>
  <c r="X196" i="1"/>
  <c r="AK219" i="1"/>
  <c r="X229" i="1"/>
  <c r="AG243" i="1"/>
  <c r="AJ248" i="1"/>
  <c r="AI259" i="1"/>
  <c r="AH293" i="1"/>
  <c r="AI340" i="1"/>
  <c r="AK711" i="1"/>
  <c r="AH709" i="1"/>
  <c r="AH695" i="1"/>
  <c r="AI692" i="1"/>
  <c r="X645" i="1"/>
  <c r="AK599" i="1"/>
  <c r="AK594" i="1"/>
  <c r="AJ575" i="1"/>
  <c r="X574" i="1"/>
  <c r="AI545" i="1"/>
  <c r="AH711" i="1"/>
  <c r="AG709" i="1"/>
  <c r="AG695" i="1"/>
  <c r="AH692" i="1"/>
  <c r="X641" i="1"/>
  <c r="AK634" i="1"/>
  <c r="AK614" i="1"/>
  <c r="AJ599" i="1"/>
  <c r="AJ594" i="1"/>
  <c r="AI575" i="1"/>
  <c r="AH545" i="1"/>
  <c r="AG711" i="1"/>
  <c r="AG692" i="1"/>
  <c r="AJ634" i="1"/>
  <c r="X709" i="1"/>
  <c r="X695" i="1"/>
  <c r="AI634" i="1"/>
  <c r="AI614" i="1"/>
  <c r="AH599" i="1"/>
  <c r="AH594" i="1"/>
  <c r="AK698" i="1"/>
  <c r="X692" i="1"/>
  <c r="AJ698" i="1"/>
  <c r="AK693" i="1"/>
  <c r="AK690" i="1"/>
  <c r="AK666" i="1"/>
  <c r="AJ649" i="1"/>
  <c r="AK640" i="1"/>
  <c r="AG634" i="1"/>
  <c r="AG614" i="1"/>
  <c r="AJ604" i="1"/>
  <c r="AK596" i="1"/>
  <c r="AK708" i="1"/>
  <c r="AK699" i="1"/>
  <c r="AI698" i="1"/>
  <c r="AJ693" i="1"/>
  <c r="AJ690" i="1"/>
  <c r="AK684" i="1"/>
  <c r="AJ708" i="1"/>
  <c r="AK704" i="1"/>
  <c r="AJ699" i="1"/>
  <c r="AH698" i="1"/>
  <c r="AI693" i="1"/>
  <c r="AI690" i="1"/>
  <c r="AJ684" i="1"/>
  <c r="AK667" i="1"/>
  <c r="AI666" i="1"/>
  <c r="AJ661" i="1"/>
  <c r="AJ655" i="1"/>
  <c r="AK650" i="1"/>
  <c r="AH649" i="1"/>
  <c r="AI640" i="1"/>
  <c r="AK636" i="1"/>
  <c r="X634" i="1"/>
  <c r="AK623" i="1"/>
  <c r="X614" i="1"/>
  <c r="AJ704" i="1"/>
  <c r="AK691" i="1"/>
  <c r="AI686" i="1"/>
  <c r="X685" i="1"/>
  <c r="AH678" i="1"/>
  <c r="AK674" i="1"/>
  <c r="AH669" i="1"/>
  <c r="AH666" i="1"/>
  <c r="AH661" i="1"/>
  <c r="AG655" i="1"/>
  <c r="AI650" i="1"/>
  <c r="AH640" i="1"/>
  <c r="AH627" i="1"/>
  <c r="AG597" i="1"/>
  <c r="X575" i="1"/>
  <c r="AI573" i="1"/>
  <c r="X567" i="1"/>
  <c r="AK553" i="1"/>
  <c r="AJ545" i="1"/>
  <c r="AG510" i="1"/>
  <c r="AJ507" i="1"/>
  <c r="AI704" i="1"/>
  <c r="AK695" i="1"/>
  <c r="AJ691" i="1"/>
  <c r="AH686" i="1"/>
  <c r="AG678" i="1"/>
  <c r="AJ674" i="1"/>
  <c r="X673" i="1"/>
  <c r="AG669" i="1"/>
  <c r="AG666" i="1"/>
  <c r="AG661" i="1"/>
  <c r="X658" i="1"/>
  <c r="AH650" i="1"/>
  <c r="AG640" i="1"/>
  <c r="AI635" i="1"/>
  <c r="AI633" i="1"/>
  <c r="X632" i="1"/>
  <c r="AG627" i="1"/>
  <c r="AI625" i="1"/>
  <c r="AI594" i="1"/>
  <c r="AH573" i="1"/>
  <c r="X564" i="1"/>
  <c r="AJ553" i="1"/>
  <c r="AG545" i="1"/>
  <c r="X516" i="1"/>
  <c r="AI507" i="1"/>
  <c r="AH704" i="1"/>
  <c r="AK700" i="1"/>
  <c r="AJ695" i="1"/>
  <c r="AI691" i="1"/>
  <c r="AG686" i="1"/>
  <c r="AK679" i="1"/>
  <c r="AI674" i="1"/>
  <c r="X655" i="1"/>
  <c r="AG650" i="1"/>
  <c r="AG647" i="1"/>
  <c r="AG635" i="1"/>
  <c r="AH633" i="1"/>
  <c r="AJ623" i="1"/>
  <c r="AK620" i="1"/>
  <c r="X610" i="1"/>
  <c r="X606" i="1"/>
  <c r="X597" i="1"/>
  <c r="AG594" i="1"/>
  <c r="AG573" i="1"/>
  <c r="AG565" i="1"/>
  <c r="AK558" i="1"/>
  <c r="AI553" i="1"/>
  <c r="AG524" i="1"/>
  <c r="AG704" i="1"/>
  <c r="AJ700" i="1"/>
  <c r="AI695" i="1"/>
  <c r="AH691" i="1"/>
  <c r="AJ679" i="1"/>
  <c r="X678" i="1"/>
  <c r="AH674" i="1"/>
  <c r="X666" i="1"/>
  <c r="X661" i="1"/>
  <c r="X640" i="1"/>
  <c r="AG633" i="1"/>
  <c r="X627" i="1"/>
  <c r="AI623" i="1"/>
  <c r="AK611" i="1"/>
  <c r="AK592" i="1"/>
  <c r="AK578" i="1"/>
  <c r="AJ558" i="1"/>
  <c r="AH553" i="1"/>
  <c r="X545" i="1"/>
  <c r="AK532" i="1"/>
  <c r="X531" i="1"/>
  <c r="AK705" i="1"/>
  <c r="AI700" i="1"/>
  <c r="AH693" i="1"/>
  <c r="AG691" i="1"/>
  <c r="AI679" i="1"/>
  <c r="AG674" i="1"/>
  <c r="AJ667" i="1"/>
  <c r="X650" i="1"/>
  <c r="AK645" i="1"/>
  <c r="AJ636" i="1"/>
  <c r="AH623" i="1"/>
  <c r="AJ614" i="1"/>
  <c r="AJ611" i="1"/>
  <c r="X594" i="1"/>
  <c r="AJ592" i="1"/>
  <c r="AJ578" i="1"/>
  <c r="X573" i="1"/>
  <c r="AI558" i="1"/>
  <c r="AG553" i="1"/>
  <c r="AK543" i="1"/>
  <c r="AJ532" i="1"/>
  <c r="X524" i="1"/>
  <c r="AK513" i="1"/>
  <c r="AK505" i="1"/>
  <c r="AK709" i="1"/>
  <c r="AJ705" i="1"/>
  <c r="X704" i="1"/>
  <c r="AH700" i="1"/>
  <c r="AG693" i="1"/>
  <c r="AI684" i="1"/>
  <c r="AH679" i="1"/>
  <c r="AI667" i="1"/>
  <c r="AK651" i="1"/>
  <c r="AJ645" i="1"/>
  <c r="AI636" i="1"/>
  <c r="AG623" i="1"/>
  <c r="AH614" i="1"/>
  <c r="AI611" i="1"/>
  <c r="AK604" i="1"/>
  <c r="AI592" i="1"/>
  <c r="AK588" i="1"/>
  <c r="AI578" i="1"/>
  <c r="AK574" i="1"/>
  <c r="AH558" i="1"/>
  <c r="AJ543" i="1"/>
  <c r="AK533" i="1"/>
  <c r="AI532" i="1"/>
  <c r="AK527" i="1"/>
  <c r="AK521" i="1"/>
  <c r="AJ513" i="1"/>
  <c r="AK508" i="1"/>
  <c r="X507" i="1"/>
  <c r="AJ505" i="1"/>
  <c r="AJ709" i="1"/>
  <c r="AI705" i="1"/>
  <c r="AG700" i="1"/>
  <c r="AG698" i="1"/>
  <c r="X691" i="1"/>
  <c r="AH684" i="1"/>
  <c r="AG679" i="1"/>
  <c r="AH667" i="1"/>
  <c r="AJ651" i="1"/>
  <c r="AI645" i="1"/>
  <c r="AK641" i="1"/>
  <c r="AH636" i="1"/>
  <c r="AK612" i="1"/>
  <c r="AH611" i="1"/>
  <c r="AI604" i="1"/>
  <c r="AH592" i="1"/>
  <c r="AJ588" i="1"/>
  <c r="AH578" i="1"/>
  <c r="AJ574" i="1"/>
  <c r="AK559" i="1"/>
  <c r="AG558" i="1"/>
  <c r="X553" i="1"/>
  <c r="AK547" i="1"/>
  <c r="AI543" i="1"/>
  <c r="AK539" i="1"/>
  <c r="AJ533" i="1"/>
  <c r="AH532" i="1"/>
  <c r="AJ527" i="1"/>
  <c r="AK706" i="1"/>
  <c r="AK694" i="1"/>
  <c r="X684" i="1"/>
  <c r="AI677" i="1"/>
  <c r="AJ668" i="1"/>
  <c r="X667" i="1"/>
  <c r="AG651" i="1"/>
  <c r="AH641" i="1"/>
  <c r="X636" i="1"/>
  <c r="AJ624" i="1"/>
  <c r="AH621" i="1"/>
  <c r="AH612" i="1"/>
  <c r="X611" i="1"/>
  <c r="AK602" i="1"/>
  <c r="AI596" i="1"/>
  <c r="X592" i="1"/>
  <c r="AK584" i="1"/>
  <c r="X578" i="1"/>
  <c r="AG574" i="1"/>
  <c r="AJ560" i="1"/>
  <c r="AH559" i="1"/>
  <c r="AJ555" i="1"/>
  <c r="X532" i="1"/>
  <c r="AG521" i="1"/>
  <c r="AG508" i="1"/>
  <c r="AK506" i="1"/>
  <c r="AJ706" i="1"/>
  <c r="X705" i="1"/>
  <c r="AJ694" i="1"/>
  <c r="AK692" i="1"/>
  <c r="AK685" i="1"/>
  <c r="AK680" i="1"/>
  <c r="AH677" i="1"/>
  <c r="AI668" i="1"/>
  <c r="AG665" i="1"/>
  <c r="AG660" i="1"/>
  <c r="AI657" i="1"/>
  <c r="AI654" i="1"/>
  <c r="AK652" i="1"/>
  <c r="X648" i="1"/>
  <c r="AG641" i="1"/>
  <c r="AK637" i="1"/>
  <c r="AI624" i="1"/>
  <c r="AI615" i="1"/>
  <c r="AK613" i="1"/>
  <c r="AG612" i="1"/>
  <c r="AI605" i="1"/>
  <c r="X604" i="1"/>
  <c r="AJ602" i="1"/>
  <c r="AI599" i="1"/>
  <c r="AH596" i="1"/>
  <c r="AH593" i="1"/>
  <c r="AJ589" i="1"/>
  <c r="X588" i="1"/>
  <c r="AJ584" i="1"/>
  <c r="AH583" i="1"/>
  <c r="AI579" i="1"/>
  <c r="AI571" i="1"/>
  <c r="AK567" i="1"/>
  <c r="AK688" i="1"/>
  <c r="AG677" i="1"/>
  <c r="AK657" i="1"/>
  <c r="AI655" i="1"/>
  <c r="AG624" i="1"/>
  <c r="AI613" i="1"/>
  <c r="AJ583" i="1"/>
  <c r="AK565" i="1"/>
  <c r="AG547" i="1"/>
  <c r="X533" i="1"/>
  <c r="AJ528" i="1"/>
  <c r="AH523" i="1"/>
  <c r="AI508" i="1"/>
  <c r="AH506" i="1"/>
  <c r="AH690" i="1"/>
  <c r="AH657" i="1"/>
  <c r="AH655" i="1"/>
  <c r="AJ637" i="1"/>
  <c r="AI626" i="1"/>
  <c r="AH613" i="1"/>
  <c r="AI588" i="1"/>
  <c r="AG583" i="1"/>
  <c r="AK573" i="1"/>
  <c r="AJ565" i="1"/>
  <c r="AK561" i="1"/>
  <c r="X560" i="1"/>
  <c r="AK552" i="1"/>
  <c r="AK545" i="1"/>
  <c r="AH543" i="1"/>
  <c r="AH528" i="1"/>
  <c r="AG523" i="1"/>
  <c r="AJ521" i="1"/>
  <c r="AK515" i="1"/>
  <c r="AH508" i="1"/>
  <c r="AG506" i="1"/>
  <c r="AG503" i="1"/>
  <c r="X494" i="1"/>
  <c r="X488" i="1"/>
  <c r="AH479" i="1"/>
  <c r="AJ476" i="1"/>
  <c r="AI471" i="1"/>
  <c r="AJ462" i="1"/>
  <c r="X459" i="1"/>
  <c r="AI452" i="1"/>
  <c r="X436" i="1"/>
  <c r="AG690" i="1"/>
  <c r="X677" i="1"/>
  <c r="AK669" i="1"/>
  <c r="AK661" i="1"/>
  <c r="AI637" i="1"/>
  <c r="AG626" i="1"/>
  <c r="AG613" i="1"/>
  <c r="AJ609" i="1"/>
  <c r="AK605" i="1"/>
  <c r="AK603" i="1"/>
  <c r="AJ596" i="1"/>
  <c r="AG592" i="1"/>
  <c r="AG590" i="1"/>
  <c r="AH588" i="1"/>
  <c r="AK586" i="1"/>
  <c r="AK579" i="1"/>
  <c r="AJ573" i="1"/>
  <c r="AJ567" i="1"/>
  <c r="AJ561" i="1"/>
  <c r="AI556" i="1"/>
  <c r="AJ552" i="1"/>
  <c r="X547" i="1"/>
  <c r="AG543" i="1"/>
  <c r="AK541" i="1"/>
  <c r="AK534" i="1"/>
  <c r="AJ529" i="1"/>
  <c r="AG528" i="1"/>
  <c r="AI521" i="1"/>
  <c r="AI515" i="1"/>
  <c r="X514" i="1"/>
  <c r="AG485" i="1"/>
  <c r="X484" i="1"/>
  <c r="AG479" i="1"/>
  <c r="AI476" i="1"/>
  <c r="X475" i="1"/>
  <c r="AJ669" i="1"/>
  <c r="AI661" i="1"/>
  <c r="AK644" i="1"/>
  <c r="AJ639" i="1"/>
  <c r="AH637" i="1"/>
  <c r="AK619" i="1"/>
  <c r="AG615" i="1"/>
  <c r="AG611" i="1"/>
  <c r="AH609" i="1"/>
  <c r="AH605" i="1"/>
  <c r="AJ603" i="1"/>
  <c r="AG596" i="1"/>
  <c r="X583" i="1"/>
  <c r="AH579" i="1"/>
  <c r="AK575" i="1"/>
  <c r="AI567" i="1"/>
  <c r="AJ563" i="1"/>
  <c r="AI561" i="1"/>
  <c r="AH556" i="1"/>
  <c r="AI552" i="1"/>
  <c r="AK548" i="1"/>
  <c r="AI541" i="1"/>
  <c r="AJ534" i="1"/>
  <c r="AI529" i="1"/>
  <c r="AH521" i="1"/>
  <c r="AH515" i="1"/>
  <c r="X508" i="1"/>
  <c r="X506" i="1"/>
  <c r="AH476" i="1"/>
  <c r="AI709" i="1"/>
  <c r="AI706" i="1"/>
  <c r="AI699" i="1"/>
  <c r="X693" i="1"/>
  <c r="X690" i="1"/>
  <c r="AI669" i="1"/>
  <c r="AK663" i="1"/>
  <c r="AJ652" i="1"/>
  <c r="AJ650" i="1"/>
  <c r="AI644" i="1"/>
  <c r="AG637" i="1"/>
  <c r="AK632" i="1"/>
  <c r="AJ619" i="1"/>
  <c r="AG605" i="1"/>
  <c r="AI584" i="1"/>
  <c r="AG579" i="1"/>
  <c r="AH575" i="1"/>
  <c r="AH567" i="1"/>
  <c r="AH561" i="1"/>
  <c r="X558" i="1"/>
  <c r="AG556" i="1"/>
  <c r="AH552" i="1"/>
  <c r="AJ548" i="1"/>
  <c r="X543" i="1"/>
  <c r="AH534" i="1"/>
  <c r="AH529" i="1"/>
  <c r="X528" i="1"/>
  <c r="AG515" i="1"/>
  <c r="X479" i="1"/>
  <c r="AJ467" i="1"/>
  <c r="AG462" i="1"/>
  <c r="AI460" i="1"/>
  <c r="AJ457" i="1"/>
  <c r="AH706" i="1"/>
  <c r="AH699" i="1"/>
  <c r="AG667" i="1"/>
  <c r="X665" i="1"/>
  <c r="AJ663" i="1"/>
  <c r="AI652" i="1"/>
  <c r="AG644" i="1"/>
  <c r="AJ632" i="1"/>
  <c r="AI619" i="1"/>
  <c r="X615" i="1"/>
  <c r="X609" i="1"/>
  <c r="X596" i="1"/>
  <c r="AH584" i="1"/>
  <c r="AG575" i="1"/>
  <c r="AH571" i="1"/>
  <c r="AG567" i="1"/>
  <c r="AG563" i="1"/>
  <c r="AG561" i="1"/>
  <c r="AG552" i="1"/>
  <c r="AI548" i="1"/>
  <c r="AJ539" i="1"/>
  <c r="AG534" i="1"/>
  <c r="AG529" i="1"/>
  <c r="AK524" i="1"/>
  <c r="X521" i="1"/>
  <c r="AK486" i="1"/>
  <c r="X471" i="1"/>
  <c r="AI467" i="1"/>
  <c r="AH460" i="1"/>
  <c r="AJ458" i="1"/>
  <c r="AI457" i="1"/>
  <c r="X452" i="1"/>
  <c r="AG699" i="1"/>
  <c r="AJ685" i="1"/>
  <c r="AI663" i="1"/>
  <c r="AH652" i="1"/>
  <c r="AI648" i="1"/>
  <c r="AK646" i="1"/>
  <c r="AI632" i="1"/>
  <c r="X605" i="1"/>
  <c r="AG584" i="1"/>
  <c r="X579" i="1"/>
  <c r="AG571" i="1"/>
  <c r="AH548" i="1"/>
  <c r="AK544" i="1"/>
  <c r="AI539" i="1"/>
  <c r="AK535" i="1"/>
  <c r="AJ524" i="1"/>
  <c r="AK516" i="1"/>
  <c r="X515" i="1"/>
  <c r="AJ486" i="1"/>
  <c r="AH467" i="1"/>
  <c r="X462" i="1"/>
  <c r="AG460" i="1"/>
  <c r="AH457" i="1"/>
  <c r="AJ692" i="1"/>
  <c r="AI685" i="1"/>
  <c r="AK678" i="1"/>
  <c r="AK673" i="1"/>
  <c r="AG648" i="1"/>
  <c r="AJ646" i="1"/>
  <c r="AH632" i="1"/>
  <c r="X623" i="1"/>
  <c r="AG548" i="1"/>
  <c r="AJ544" i="1"/>
  <c r="AG539" i="1"/>
  <c r="AJ535" i="1"/>
  <c r="X534" i="1"/>
  <c r="AK530" i="1"/>
  <c r="X529" i="1"/>
  <c r="AK522" i="1"/>
  <c r="AJ516" i="1"/>
  <c r="AK507" i="1"/>
  <c r="AI486" i="1"/>
  <c r="AJ482" i="1"/>
  <c r="AG467" i="1"/>
  <c r="AG457" i="1"/>
  <c r="AK449" i="1"/>
  <c r="AG708" i="1"/>
  <c r="AK701" i="1"/>
  <c r="AI694" i="1"/>
  <c r="AJ680" i="1"/>
  <c r="AH673" i="1"/>
  <c r="X654" i="1"/>
  <c r="AI641" i="1"/>
  <c r="AG636" i="1"/>
  <c r="AK627" i="1"/>
  <c r="AK616" i="1"/>
  <c r="AI612" i="1"/>
  <c r="AI610" i="1"/>
  <c r="AG608" i="1"/>
  <c r="AJ606" i="1"/>
  <c r="AG602" i="1"/>
  <c r="AI597" i="1"/>
  <c r="AG593" i="1"/>
  <c r="AJ580" i="1"/>
  <c r="AJ576" i="1"/>
  <c r="AJ564" i="1"/>
  <c r="AI559" i="1"/>
  <c r="AK555" i="1"/>
  <c r="AJ540" i="1"/>
  <c r="AG535" i="1"/>
  <c r="AH530" i="1"/>
  <c r="AI527" i="1"/>
  <c r="AG522" i="1"/>
  <c r="AK517" i="1"/>
  <c r="AG516" i="1"/>
  <c r="AH513" i="1"/>
  <c r="AK510" i="1"/>
  <c r="AG505" i="1"/>
  <c r="AJ483" i="1"/>
  <c r="AJ469" i="1"/>
  <c r="AK465" i="1"/>
  <c r="AJ461" i="1"/>
  <c r="AH449" i="1"/>
  <c r="X699" i="1"/>
  <c r="AG694" i="1"/>
  <c r="AJ678" i="1"/>
  <c r="AK658" i="1"/>
  <c r="AH597" i="1"/>
  <c r="AJ572" i="1"/>
  <c r="X551" i="1"/>
  <c r="X544" i="1"/>
  <c r="AH522" i="1"/>
  <c r="AH498" i="1"/>
  <c r="AK494" i="1"/>
  <c r="AH486" i="1"/>
  <c r="AJ484" i="1"/>
  <c r="AK479" i="1"/>
  <c r="AK475" i="1"/>
  <c r="AH469" i="1"/>
  <c r="AI456" i="1"/>
  <c r="AH450" i="1"/>
  <c r="X427" i="1"/>
  <c r="AJ416" i="1"/>
  <c r="AG412" i="1"/>
  <c r="AJ370" i="1"/>
  <c r="AK367" i="1"/>
  <c r="X366" i="1"/>
  <c r="AH343" i="1"/>
  <c r="AI678" i="1"/>
  <c r="AJ658" i="1"/>
  <c r="AK622" i="1"/>
  <c r="AK610" i="1"/>
  <c r="AI572" i="1"/>
  <c r="X520" i="1"/>
  <c r="AJ510" i="1"/>
  <c r="AJ508" i="1"/>
  <c r="AG498" i="1"/>
  <c r="AJ494" i="1"/>
  <c r="X493" i="1"/>
  <c r="AG486" i="1"/>
  <c r="AI484" i="1"/>
  <c r="X481" i="1"/>
  <c r="AJ479" i="1"/>
  <c r="AJ475" i="1"/>
  <c r="AG469" i="1"/>
  <c r="X464" i="1"/>
  <c r="AK460" i="1"/>
  <c r="AH456" i="1"/>
  <c r="AG450" i="1"/>
  <c r="X447" i="1"/>
  <c r="AG434" i="1"/>
  <c r="AK432" i="1"/>
  <c r="X423" i="1"/>
  <c r="X419" i="1"/>
  <c r="AI416" i="1"/>
  <c r="AK413" i="1"/>
  <c r="AG409" i="1"/>
  <c r="X694" i="1"/>
  <c r="AG632" i="1"/>
  <c r="AI622" i="1"/>
  <c r="AJ585" i="1"/>
  <c r="AI574" i="1"/>
  <c r="AH572" i="1"/>
  <c r="X522" i="1"/>
  <c r="AK514" i="1"/>
  <c r="AI510" i="1"/>
  <c r="AI494" i="1"/>
  <c r="AH484" i="1"/>
  <c r="AI479" i="1"/>
  <c r="AI475" i="1"/>
  <c r="AK470" i="1"/>
  <c r="AJ460" i="1"/>
  <c r="AG456" i="1"/>
  <c r="AK451" i="1"/>
  <c r="AJ432" i="1"/>
  <c r="AH416" i="1"/>
  <c r="AJ413" i="1"/>
  <c r="X412" i="1"/>
  <c r="AH370" i="1"/>
  <c r="AI367" i="1"/>
  <c r="AK359" i="1"/>
  <c r="AJ350" i="1"/>
  <c r="AK696" i="1"/>
  <c r="AH685" i="1"/>
  <c r="X660" i="1"/>
  <c r="AI646" i="1"/>
  <c r="AJ627" i="1"/>
  <c r="AJ612" i="1"/>
  <c r="AI585" i="1"/>
  <c r="AK583" i="1"/>
  <c r="AH574" i="1"/>
  <c r="AK564" i="1"/>
  <c r="AI555" i="1"/>
  <c r="AI516" i="1"/>
  <c r="AJ514" i="1"/>
  <c r="AH510" i="1"/>
  <c r="AI505" i="1"/>
  <c r="AK499" i="1"/>
  <c r="X498" i="1"/>
  <c r="AH494" i="1"/>
  <c r="X486" i="1"/>
  <c r="AG484" i="1"/>
  <c r="AH475" i="1"/>
  <c r="AJ470" i="1"/>
  <c r="X469" i="1"/>
  <c r="AK462" i="1"/>
  <c r="AJ451" i="1"/>
  <c r="X450" i="1"/>
  <c r="AK445" i="1"/>
  <c r="X434" i="1"/>
  <c r="AI432" i="1"/>
  <c r="AG416" i="1"/>
  <c r="AI413" i="1"/>
  <c r="AG685" i="1"/>
  <c r="AI680" i="1"/>
  <c r="AH643" i="1"/>
  <c r="AJ640" i="1"/>
  <c r="AI627" i="1"/>
  <c r="AK624" i="1"/>
  <c r="AI602" i="1"/>
  <c r="AG599" i="1"/>
  <c r="AG589" i="1"/>
  <c r="AH585" i="1"/>
  <c r="AI564" i="1"/>
  <c r="X539" i="1"/>
  <c r="AJ530" i="1"/>
  <c r="AH516" i="1"/>
  <c r="AI514" i="1"/>
  <c r="AH505" i="1"/>
  <c r="AK503" i="1"/>
  <c r="AJ499" i="1"/>
  <c r="AG494" i="1"/>
  <c r="AG475" i="1"/>
  <c r="AI470" i="1"/>
  <c r="AK467" i="1"/>
  <c r="AJ465" i="1"/>
  <c r="AI462" i="1"/>
  <c r="X460" i="1"/>
  <c r="X456" i="1"/>
  <c r="AI451" i="1"/>
  <c r="AJ445" i="1"/>
  <c r="AH432" i="1"/>
  <c r="AH413" i="1"/>
  <c r="AK382" i="1"/>
  <c r="AG367" i="1"/>
  <c r="AK365" i="1"/>
  <c r="AI359" i="1"/>
  <c r="AK655" i="1"/>
  <c r="AJ629" i="1"/>
  <c r="AH624" i="1"/>
  <c r="X612" i="1"/>
  <c r="AH602" i="1"/>
  <c r="AH564" i="1"/>
  <c r="X555" i="1"/>
  <c r="AG532" i="1"/>
  <c r="AI530" i="1"/>
  <c r="AK528" i="1"/>
  <c r="X510" i="1"/>
  <c r="AI499" i="1"/>
  <c r="AH470" i="1"/>
  <c r="AI465" i="1"/>
  <c r="AH462" i="1"/>
  <c r="AH451" i="1"/>
  <c r="AI445" i="1"/>
  <c r="AG432" i="1"/>
  <c r="X416" i="1"/>
  <c r="AG413" i="1"/>
  <c r="AJ701" i="1"/>
  <c r="AI662" i="1"/>
  <c r="AH634" i="1"/>
  <c r="AI629" i="1"/>
  <c r="X599" i="1"/>
  <c r="X589" i="1"/>
  <c r="AG564" i="1"/>
  <c r="AK536" i="1"/>
  <c r="AG530" i="1"/>
  <c r="AH507" i="1"/>
  <c r="X505" i="1"/>
  <c r="AH499" i="1"/>
  <c r="AK487" i="1"/>
  <c r="AK485" i="1"/>
  <c r="AI482" i="1"/>
  <c r="AG470" i="1"/>
  <c r="X467" i="1"/>
  <c r="AH465" i="1"/>
  <c r="AG451" i="1"/>
  <c r="AG445" i="1"/>
  <c r="AK439" i="1"/>
  <c r="AK417" i="1"/>
  <c r="AK411" i="1"/>
  <c r="AK383" i="1"/>
  <c r="AI382" i="1"/>
  <c r="AK378" i="1"/>
  <c r="AJ372" i="1"/>
  <c r="X367" i="1"/>
  <c r="AI365" i="1"/>
  <c r="AI708" i="1"/>
  <c r="X698" i="1"/>
  <c r="AH662" i="1"/>
  <c r="AG578" i="1"/>
  <c r="AJ536" i="1"/>
  <c r="AK523" i="1"/>
  <c r="AG507" i="1"/>
  <c r="AJ487" i="1"/>
  <c r="AJ485" i="1"/>
  <c r="AH482" i="1"/>
  <c r="AK478" i="1"/>
  <c r="AG465" i="1"/>
  <c r="AK459" i="1"/>
  <c r="AI439" i="1"/>
  <c r="X432" i="1"/>
  <c r="AK430" i="1"/>
  <c r="AK426" i="1"/>
  <c r="AJ417" i="1"/>
  <c r="X413" i="1"/>
  <c r="AJ411" i="1"/>
  <c r="AK402" i="1"/>
  <c r="X708" i="1"/>
  <c r="AG705" i="1"/>
  <c r="X703" i="1"/>
  <c r="AK686" i="1"/>
  <c r="AG684" i="1"/>
  <c r="AK649" i="1"/>
  <c r="AG645" i="1"/>
  <c r="AK633" i="1"/>
  <c r="AI616" i="1"/>
  <c r="AH604" i="1"/>
  <c r="AG582" i="1"/>
  <c r="AK580" i="1"/>
  <c r="X571" i="1"/>
  <c r="AJ547" i="1"/>
  <c r="AH540" i="1"/>
  <c r="AK531" i="1"/>
  <c r="X519" i="1"/>
  <c r="AI513" i="1"/>
  <c r="AK490" i="1"/>
  <c r="AK488" i="1"/>
  <c r="AK483" i="1"/>
  <c r="AG478" i="1"/>
  <c r="AH471" i="1"/>
  <c r="AI468" i="1"/>
  <c r="AK466" i="1"/>
  <c r="AI461" i="1"/>
  <c r="AH459" i="1"/>
  <c r="AK455" i="1"/>
  <c r="AH452" i="1"/>
  <c r="AI446" i="1"/>
  <c r="AI443" i="1"/>
  <c r="AK440" i="1"/>
  <c r="AI436" i="1"/>
  <c r="AJ686" i="1"/>
  <c r="AI606" i="1"/>
  <c r="AH580" i="1"/>
  <c r="AK572" i="1"/>
  <c r="AJ559" i="1"/>
  <c r="AK549" i="1"/>
  <c r="AH527" i="1"/>
  <c r="AJ478" i="1"/>
  <c r="AK471" i="1"/>
  <c r="AK469" i="1"/>
  <c r="AH455" i="1"/>
  <c r="AI449" i="1"/>
  <c r="AH443" i="1"/>
  <c r="AG439" i="1"/>
  <c r="AJ437" i="1"/>
  <c r="AI427" i="1"/>
  <c r="X417" i="1"/>
  <c r="AK412" i="1"/>
  <c r="AG407" i="1"/>
  <c r="AI397" i="1"/>
  <c r="X396" i="1"/>
  <c r="AJ391" i="1"/>
  <c r="X390" i="1"/>
  <c r="AK385" i="1"/>
  <c r="X384" i="1"/>
  <c r="AI379" i="1"/>
  <c r="AG373" i="1"/>
  <c r="AG370" i="1"/>
  <c r="AK360" i="1"/>
  <c r="X359" i="1"/>
  <c r="AI353" i="1"/>
  <c r="AK350" i="1"/>
  <c r="AJ347" i="1"/>
  <c r="AJ344" i="1"/>
  <c r="AG318" i="1"/>
  <c r="X317" i="1"/>
  <c r="AG312" i="1"/>
  <c r="X311" i="1"/>
  <c r="AG305" i="1"/>
  <c r="AI649" i="1"/>
  <c r="AH616" i="1"/>
  <c r="AH606" i="1"/>
  <c r="AG559" i="1"/>
  <c r="AI551" i="1"/>
  <c r="AJ549" i="1"/>
  <c r="AI522" i="1"/>
  <c r="AK498" i="1"/>
  <c r="AH478" i="1"/>
  <c r="AJ471" i="1"/>
  <c r="AI469" i="1"/>
  <c r="AG455" i="1"/>
  <c r="AG449" i="1"/>
  <c r="X445" i="1"/>
  <c r="AH437" i="1"/>
  <c r="AH427" i="1"/>
  <c r="AK423" i="1"/>
  <c r="X422" i="1"/>
  <c r="AJ412" i="1"/>
  <c r="AJ405" i="1"/>
  <c r="X402" i="1"/>
  <c r="AH397" i="1"/>
  <c r="AI391" i="1"/>
  <c r="AJ385" i="1"/>
  <c r="AH379" i="1"/>
  <c r="AK374" i="1"/>
  <c r="AJ360" i="1"/>
  <c r="X356" i="1"/>
  <c r="AH353" i="1"/>
  <c r="AI350" i="1"/>
  <c r="AI347" i="1"/>
  <c r="AI344" i="1"/>
  <c r="X339" i="1"/>
  <c r="X335" i="1"/>
  <c r="X328" i="1"/>
  <c r="X322" i="1"/>
  <c r="AG649" i="1"/>
  <c r="AJ641" i="1"/>
  <c r="AJ613" i="1"/>
  <c r="AG551" i="1"/>
  <c r="X527" i="1"/>
  <c r="AJ498" i="1"/>
  <c r="AH487" i="1"/>
  <c r="AG471" i="1"/>
  <c r="AK457" i="1"/>
  <c r="X439" i="1"/>
  <c r="AG427" i="1"/>
  <c r="AJ423" i="1"/>
  <c r="AK418" i="1"/>
  <c r="AI412" i="1"/>
  <c r="AK408" i="1"/>
  <c r="AK403" i="1"/>
  <c r="AG397" i="1"/>
  <c r="AH391" i="1"/>
  <c r="AJ382" i="1"/>
  <c r="AG379" i="1"/>
  <c r="AJ374" i="1"/>
  <c r="X373" i="1"/>
  <c r="X370" i="1"/>
  <c r="AK366" i="1"/>
  <c r="AI360" i="1"/>
  <c r="AH350" i="1"/>
  <c r="AK348" i="1"/>
  <c r="AH344" i="1"/>
  <c r="X301" i="1"/>
  <c r="AK289" i="1"/>
  <c r="X288" i="1"/>
  <c r="X276" i="1"/>
  <c r="AG654" i="1"/>
  <c r="X584" i="1"/>
  <c r="X559" i="1"/>
  <c r="AJ531" i="1"/>
  <c r="AG513" i="1"/>
  <c r="AG487" i="1"/>
  <c r="X478" i="1"/>
  <c r="X455" i="1"/>
  <c r="X449" i="1"/>
  <c r="AI423" i="1"/>
  <c r="AJ418" i="1"/>
  <c r="AK416" i="1"/>
  <c r="AH412" i="1"/>
  <c r="AJ408" i="1"/>
  <c r="AJ403" i="1"/>
  <c r="AG391" i="1"/>
  <c r="AH385" i="1"/>
  <c r="AH382" i="1"/>
  <c r="AI374" i="1"/>
  <c r="AK368" i="1"/>
  <c r="AJ366" i="1"/>
  <c r="AH360" i="1"/>
  <c r="AG350" i="1"/>
  <c r="AJ348" i="1"/>
  <c r="AG347" i="1"/>
  <c r="AG344" i="1"/>
  <c r="AK302" i="1"/>
  <c r="AI651" i="1"/>
  <c r="X649" i="1"/>
  <c r="AI618" i="1"/>
  <c r="AK560" i="1"/>
  <c r="AI531" i="1"/>
  <c r="AK493" i="1"/>
  <c r="AK484" i="1"/>
  <c r="AH464" i="1"/>
  <c r="AJ459" i="1"/>
  <c r="X457" i="1"/>
  <c r="AI430" i="1"/>
  <c r="AH423" i="1"/>
  <c r="AI418" i="1"/>
  <c r="AI408" i="1"/>
  <c r="AI403" i="1"/>
  <c r="AG382" i="1"/>
  <c r="X379" i="1"/>
  <c r="AH374" i="1"/>
  <c r="AJ368" i="1"/>
  <c r="AI366" i="1"/>
  <c r="AG360" i="1"/>
  <c r="AI348" i="1"/>
  <c r="AJ302" i="1"/>
  <c r="AK294" i="1"/>
  <c r="AI289" i="1"/>
  <c r="AG703" i="1"/>
  <c r="AH651" i="1"/>
  <c r="AH618" i="1"/>
  <c r="AK593" i="1"/>
  <c r="AI560" i="1"/>
  <c r="X513" i="1"/>
  <c r="AK502" i="1"/>
  <c r="AJ493" i="1"/>
  <c r="X487" i="1"/>
  <c r="AJ466" i="1"/>
  <c r="AG464" i="1"/>
  <c r="AI459" i="1"/>
  <c r="AK452" i="1"/>
  <c r="AK450" i="1"/>
  <c r="AJ440" i="1"/>
  <c r="AG430" i="1"/>
  <c r="AG423" i="1"/>
  <c r="AG418" i="1"/>
  <c r="AH408" i="1"/>
  <c r="AH403" i="1"/>
  <c r="X391" i="1"/>
  <c r="AG374" i="1"/>
  <c r="AI368" i="1"/>
  <c r="AH366" i="1"/>
  <c r="X350" i="1"/>
  <c r="AH348" i="1"/>
  <c r="X347" i="1"/>
  <c r="X344" i="1"/>
  <c r="AI302" i="1"/>
  <c r="AJ593" i="1"/>
  <c r="AH560" i="1"/>
  <c r="AI533" i="1"/>
  <c r="AJ517" i="1"/>
  <c r="AI502" i="1"/>
  <c r="AH493" i="1"/>
  <c r="AI466" i="1"/>
  <c r="AG459" i="1"/>
  <c r="AJ452" i="1"/>
  <c r="AI450" i="1"/>
  <c r="AK446" i="1"/>
  <c r="AI440" i="1"/>
  <c r="AG408" i="1"/>
  <c r="AG403" i="1"/>
  <c r="AJ383" i="1"/>
  <c r="X382" i="1"/>
  <c r="AH368" i="1"/>
  <c r="AG366" i="1"/>
  <c r="AK361" i="1"/>
  <c r="X360" i="1"/>
  <c r="AK351" i="1"/>
  <c r="AG348" i="1"/>
  <c r="AH302" i="1"/>
  <c r="AI294" i="1"/>
  <c r="AG289" i="1"/>
  <c r="AH708" i="1"/>
  <c r="AH705" i="1"/>
  <c r="AH694" i="1"/>
  <c r="AG656" i="1"/>
  <c r="AH631" i="1"/>
  <c r="AG560" i="1"/>
  <c r="AK540" i="1"/>
  <c r="AI535" i="1"/>
  <c r="AH533" i="1"/>
  <c r="AI517" i="1"/>
  <c r="AH502" i="1"/>
  <c r="AG493" i="1"/>
  <c r="AJ488" i="1"/>
  <c r="X482" i="1"/>
  <c r="AH466" i="1"/>
  <c r="AK456" i="1"/>
  <c r="AG452" i="1"/>
  <c r="AJ446" i="1"/>
  <c r="AK444" i="1"/>
  <c r="AG440" i="1"/>
  <c r="AK436" i="1"/>
  <c r="AK434" i="1"/>
  <c r="X430" i="1"/>
  <c r="X418" i="1"/>
  <c r="AI383" i="1"/>
  <c r="X374" i="1"/>
  <c r="AG368" i="1"/>
  <c r="AJ361" i="1"/>
  <c r="AJ351" i="1"/>
  <c r="AK333" i="1"/>
  <c r="AJ309" i="1"/>
  <c r="AG302" i="1"/>
  <c r="AJ295" i="1"/>
  <c r="AH294" i="1"/>
  <c r="AG631" i="1"/>
  <c r="X593" i="1"/>
  <c r="AK568" i="1"/>
  <c r="AI540" i="1"/>
  <c r="AH535" i="1"/>
  <c r="AI488" i="1"/>
  <c r="AJ456" i="1"/>
  <c r="AH446" i="1"/>
  <c r="AI444" i="1"/>
  <c r="AJ436" i="1"/>
  <c r="AI434" i="1"/>
  <c r="AK419" i="1"/>
  <c r="AK415" i="1"/>
  <c r="AH411" i="1"/>
  <c r="X408" i="1"/>
  <c r="AH383" i="1"/>
  <c r="AK372" i="1"/>
  <c r="AI361" i="1"/>
  <c r="AI351" i="1"/>
  <c r="X348" i="1"/>
  <c r="AJ333" i="1"/>
  <c r="AI309" i="1"/>
  <c r="AG294" i="1"/>
  <c r="X289" i="1"/>
  <c r="AH645" i="1"/>
  <c r="X504" i="1"/>
  <c r="AI483" i="1"/>
  <c r="AH468" i="1"/>
  <c r="X461" i="1"/>
  <c r="AK404" i="1"/>
  <c r="AH402" i="1"/>
  <c r="AG396" i="1"/>
  <c r="X372" i="1"/>
  <c r="X365" i="1"/>
  <c r="AH361" i="1"/>
  <c r="AJ356" i="1"/>
  <c r="AH351" i="1"/>
  <c r="AK334" i="1"/>
  <c r="X333" i="1"/>
  <c r="AJ322" i="1"/>
  <c r="X321" i="1"/>
  <c r="AH317" i="1"/>
  <c r="AI310" i="1"/>
  <c r="AK301" i="1"/>
  <c r="AK296" i="1"/>
  <c r="AG293" i="1"/>
  <c r="AH287" i="1"/>
  <c r="AH284" i="1"/>
  <c r="AH277" i="1"/>
  <c r="AG270" i="1"/>
  <c r="X254" i="1"/>
  <c r="X251" i="1"/>
  <c r="AG248" i="1"/>
  <c r="X237" i="1"/>
  <c r="AI233" i="1"/>
  <c r="X219" i="1"/>
  <c r="X212" i="1"/>
  <c r="X208" i="1"/>
  <c r="X542" i="1"/>
  <c r="X517" i="1"/>
  <c r="AJ506" i="1"/>
  <c r="AH483" i="1"/>
  <c r="X463" i="1"/>
  <c r="AK427" i="1"/>
  <c r="AJ404" i="1"/>
  <c r="AG402" i="1"/>
  <c r="AK381" i="1"/>
  <c r="AK379" i="1"/>
  <c r="AG361" i="1"/>
  <c r="AI356" i="1"/>
  <c r="AG351" i="1"/>
  <c r="X349" i="1"/>
  <c r="AK346" i="1"/>
  <c r="AK344" i="1"/>
  <c r="AJ334" i="1"/>
  <c r="X326" i="1"/>
  <c r="AI322" i="1"/>
  <c r="AG317" i="1"/>
  <c r="AH310" i="1"/>
  <c r="AJ301" i="1"/>
  <c r="AJ296" i="1"/>
  <c r="AK288" i="1"/>
  <c r="AG287" i="1"/>
  <c r="AG284" i="1"/>
  <c r="X266" i="1"/>
  <c r="AI547" i="1"/>
  <c r="AH544" i="1"/>
  <c r="AI506" i="1"/>
  <c r="AH488" i="1"/>
  <c r="AG483" i="1"/>
  <c r="X468" i="1"/>
  <c r="AJ449" i="1"/>
  <c r="AJ427" i="1"/>
  <c r="AK422" i="1"/>
  <c r="AI404" i="1"/>
  <c r="AJ381" i="1"/>
  <c r="AJ379" i="1"/>
  <c r="AK373" i="1"/>
  <c r="AJ367" i="1"/>
  <c r="AH356" i="1"/>
  <c r="AJ346" i="1"/>
  <c r="AI334" i="1"/>
  <c r="AK327" i="1"/>
  <c r="AH322" i="1"/>
  <c r="AK311" i="1"/>
  <c r="AG310" i="1"/>
  <c r="AI301" i="1"/>
  <c r="AI296" i="1"/>
  <c r="AJ288" i="1"/>
  <c r="AJ252" i="1"/>
  <c r="X248" i="1"/>
  <c r="AJ213" i="1"/>
  <c r="AH200" i="1"/>
  <c r="AI184" i="1"/>
  <c r="AG172" i="1"/>
  <c r="AK668" i="1"/>
  <c r="AJ666" i="1"/>
  <c r="AG595" i="1"/>
  <c r="AI580" i="1"/>
  <c r="AG544" i="1"/>
  <c r="AG509" i="1"/>
  <c r="AG488" i="1"/>
  <c r="AI485" i="1"/>
  <c r="X470" i="1"/>
  <c r="X465" i="1"/>
  <c r="AK437" i="1"/>
  <c r="AJ422" i="1"/>
  <c r="AG404" i="1"/>
  <c r="AK397" i="1"/>
  <c r="AH381" i="1"/>
  <c r="AJ373" i="1"/>
  <c r="AH367" i="1"/>
  <c r="X358" i="1"/>
  <c r="AG356" i="1"/>
  <c r="X351" i="1"/>
  <c r="AI346" i="1"/>
  <c r="AH334" i="1"/>
  <c r="AJ327" i="1"/>
  <c r="AG322" i="1"/>
  <c r="AJ311" i="1"/>
  <c r="AH301" i="1"/>
  <c r="AK297" i="1"/>
  <c r="AH296" i="1"/>
  <c r="AI288" i="1"/>
  <c r="X287" i="1"/>
  <c r="AK282" i="1"/>
  <c r="AI252" i="1"/>
  <c r="AI213" i="1"/>
  <c r="AG200" i="1"/>
  <c r="AH668" i="1"/>
  <c r="AK597" i="1"/>
  <c r="X483" i="1"/>
  <c r="X451" i="1"/>
  <c r="AI422" i="1"/>
  <c r="AJ397" i="1"/>
  <c r="AG383" i="1"/>
  <c r="AI373" i="1"/>
  <c r="AH369" i="1"/>
  <c r="AK352" i="1"/>
  <c r="AG346" i="1"/>
  <c r="AK335" i="1"/>
  <c r="AG334" i="1"/>
  <c r="AI327" i="1"/>
  <c r="AK318" i="1"/>
  <c r="AI311" i="1"/>
  <c r="X310" i="1"/>
  <c r="AG301" i="1"/>
  <c r="AJ297" i="1"/>
  <c r="AG296" i="1"/>
  <c r="AH288" i="1"/>
  <c r="AJ282" i="1"/>
  <c r="AK268" i="1"/>
  <c r="AH252" i="1"/>
  <c r="AH213" i="1"/>
  <c r="AK207" i="1"/>
  <c r="AJ189" i="1"/>
  <c r="AG184" i="1"/>
  <c r="X172" i="1"/>
  <c r="AJ673" i="1"/>
  <c r="AG668" i="1"/>
  <c r="AG604" i="1"/>
  <c r="AJ597" i="1"/>
  <c r="AJ523" i="1"/>
  <c r="AH439" i="1"/>
  <c r="AH422" i="1"/>
  <c r="AJ415" i="1"/>
  <c r="AK391" i="1"/>
  <c r="AH373" i="1"/>
  <c r="AG369" i="1"/>
  <c r="AJ352" i="1"/>
  <c r="AJ335" i="1"/>
  <c r="AH327" i="1"/>
  <c r="AJ318" i="1"/>
  <c r="AH311" i="1"/>
  <c r="AI297" i="1"/>
  <c r="AG288" i="1"/>
  <c r="AI282" i="1"/>
  <c r="AJ268" i="1"/>
  <c r="AK264" i="1"/>
  <c r="AG252" i="1"/>
  <c r="AK235" i="1"/>
  <c r="AI673" i="1"/>
  <c r="AI523" i="1"/>
  <c r="AG446" i="1"/>
  <c r="AG422" i="1"/>
  <c r="AH415" i="1"/>
  <c r="AG389" i="1"/>
  <c r="AJ387" i="1"/>
  <c r="X383" i="1"/>
  <c r="AI352" i="1"/>
  <c r="X346" i="1"/>
  <c r="AK343" i="1"/>
  <c r="AK339" i="1"/>
  <c r="AI335" i="1"/>
  <c r="X334" i="1"/>
  <c r="AG327" i="1"/>
  <c r="AI318" i="1"/>
  <c r="AG311" i="1"/>
  <c r="X308" i="1"/>
  <c r="AK304" i="1"/>
  <c r="AH297" i="1"/>
  <c r="X296" i="1"/>
  <c r="AH282" i="1"/>
  <c r="AI268" i="1"/>
  <c r="AJ216" i="1"/>
  <c r="AI207" i="1"/>
  <c r="AH189" i="1"/>
  <c r="AK185" i="1"/>
  <c r="X184" i="1"/>
  <c r="AK181" i="1"/>
  <c r="AK166" i="1"/>
  <c r="AG673" i="1"/>
  <c r="X668" i="1"/>
  <c r="AK625" i="1"/>
  <c r="AK453" i="1"/>
  <c r="AJ441" i="1"/>
  <c r="AJ431" i="1"/>
  <c r="X369" i="1"/>
  <c r="AH352" i="1"/>
  <c r="AJ343" i="1"/>
  <c r="AJ339" i="1"/>
  <c r="AH335" i="1"/>
  <c r="AK328" i="1"/>
  <c r="AH318" i="1"/>
  <c r="X316" i="1"/>
  <c r="AK312" i="1"/>
  <c r="AJ304" i="1"/>
  <c r="AG297" i="1"/>
  <c r="AJ294" i="1"/>
  <c r="AG282" i="1"/>
  <c r="AH268" i="1"/>
  <c r="AK259" i="1"/>
  <c r="X252" i="1"/>
  <c r="AI216" i="1"/>
  <c r="X213" i="1"/>
  <c r="AH207" i="1"/>
  <c r="AK520" i="1"/>
  <c r="AI441" i="1"/>
  <c r="AI431" i="1"/>
  <c r="X415" i="1"/>
  <c r="AG401" i="1"/>
  <c r="AH395" i="1"/>
  <c r="AJ393" i="1"/>
  <c r="X389" i="1"/>
  <c r="AK362" i="1"/>
  <c r="AH431" i="1"/>
  <c r="AH426" i="1"/>
  <c r="AI384" i="1"/>
  <c r="AH372" i="1"/>
  <c r="AI370" i="1"/>
  <c r="X355" i="1"/>
  <c r="AI292" i="1"/>
  <c r="AH286" i="1"/>
  <c r="X264" i="1"/>
  <c r="X259" i="1"/>
  <c r="AG254" i="1"/>
  <c r="AH248" i="1"/>
  <c r="X235" i="1"/>
  <c r="AH233" i="1"/>
  <c r="AJ225" i="1"/>
  <c r="AG219" i="1"/>
  <c r="AK204" i="1"/>
  <c r="AH203" i="1"/>
  <c r="AI200" i="1"/>
  <c r="AI186" i="1"/>
  <c r="X185" i="1"/>
  <c r="X183" i="1"/>
  <c r="AJ176" i="1"/>
  <c r="AK167" i="1"/>
  <c r="AH101" i="1"/>
  <c r="AG520" i="1"/>
  <c r="X499" i="1"/>
  <c r="AG426" i="1"/>
  <c r="AH384" i="1"/>
  <c r="AG372" i="1"/>
  <c r="AK305" i="1"/>
  <c r="AK298" i="1"/>
  <c r="X294" i="1"/>
  <c r="AH292" i="1"/>
  <c r="AG286" i="1"/>
  <c r="AK284" i="1"/>
  <c r="AK280" i="1"/>
  <c r="X269" i="1"/>
  <c r="AK265" i="1"/>
  <c r="AK260" i="1"/>
  <c r="AK252" i="1"/>
  <c r="AK236" i="1"/>
  <c r="AI225" i="1"/>
  <c r="X215" i="1"/>
  <c r="AJ204" i="1"/>
  <c r="AG203" i="1"/>
  <c r="X189" i="1"/>
  <c r="AK187" i="1"/>
  <c r="AH186" i="1"/>
  <c r="AI176" i="1"/>
  <c r="AJ167" i="1"/>
  <c r="X166" i="1"/>
  <c r="AG101" i="1"/>
  <c r="AK461" i="1"/>
  <c r="AH436" i="1"/>
  <c r="AJ402" i="1"/>
  <c r="AG384" i="1"/>
  <c r="AJ362" i="1"/>
  <c r="AK322" i="1"/>
  <c r="AJ305" i="1"/>
  <c r="AG300" i="1"/>
  <c r="AJ298" i="1"/>
  <c r="AG292" i="1"/>
  <c r="AI284" i="1"/>
  <c r="AG280" i="1"/>
  <c r="AK274" i="1"/>
  <c r="AJ265" i="1"/>
  <c r="AJ260" i="1"/>
  <c r="AJ236" i="1"/>
  <c r="AJ231" i="1"/>
  <c r="AH225" i="1"/>
  <c r="AK216" i="1"/>
  <c r="AI204" i="1"/>
  <c r="X200" i="1"/>
  <c r="AJ198" i="1"/>
  <c r="AJ187" i="1"/>
  <c r="AG186" i="1"/>
  <c r="AH176" i="1"/>
  <c r="AI167" i="1"/>
  <c r="AH461" i="1"/>
  <c r="AG436" i="1"/>
  <c r="X426" i="1"/>
  <c r="AI402" i="1"/>
  <c r="AH362" i="1"/>
  <c r="AJ359" i="1"/>
  <c r="AJ328" i="1"/>
  <c r="AK313" i="1"/>
  <c r="AI305" i="1"/>
  <c r="AH298" i="1"/>
  <c r="X286" i="1"/>
  <c r="AJ274" i="1"/>
  <c r="AI265" i="1"/>
  <c r="AI260" i="1"/>
  <c r="AI236" i="1"/>
  <c r="AI231" i="1"/>
  <c r="AK226" i="1"/>
  <c r="AG225" i="1"/>
  <c r="AH216" i="1"/>
  <c r="AH204" i="1"/>
  <c r="X203" i="1"/>
  <c r="AI198" i="1"/>
  <c r="AI187" i="1"/>
  <c r="AG176" i="1"/>
  <c r="AH167" i="1"/>
  <c r="AG461" i="1"/>
  <c r="AK433" i="1"/>
  <c r="AK390" i="1"/>
  <c r="X364" i="1"/>
  <c r="AH359" i="1"/>
  <c r="AG352" i="1"/>
  <c r="AK349" i="1"/>
  <c r="AI339" i="1"/>
  <c r="AI328" i="1"/>
  <c r="AH326" i="1"/>
  <c r="AH309" i="1"/>
  <c r="AH305" i="1"/>
  <c r="X300" i="1"/>
  <c r="AK293" i="1"/>
  <c r="X292" i="1"/>
  <c r="X282" i="1"/>
  <c r="X280" i="1"/>
  <c r="AK276" i="1"/>
  <c r="AI274" i="1"/>
  <c r="AK270" i="1"/>
  <c r="AH265" i="1"/>
  <c r="AH260" i="1"/>
  <c r="AH236" i="1"/>
  <c r="AH231" i="1"/>
  <c r="AJ226" i="1"/>
  <c r="AG216" i="1"/>
  <c r="AK213" i="1"/>
  <c r="AJ207" i="1"/>
  <c r="AG204" i="1"/>
  <c r="AH198" i="1"/>
  <c r="AH187" i="1"/>
  <c r="X186" i="1"/>
  <c r="AK184" i="1"/>
  <c r="AJ181" i="1"/>
  <c r="AK171" i="1"/>
  <c r="AG167" i="1"/>
  <c r="AK155" i="1"/>
  <c r="X525" i="1"/>
  <c r="AK474" i="1"/>
  <c r="X466" i="1"/>
  <c r="AK463" i="1"/>
  <c r="AJ433" i="1"/>
  <c r="AI407" i="1"/>
  <c r="AG395" i="1"/>
  <c r="AJ390" i="1"/>
  <c r="AJ378" i="1"/>
  <c r="AJ376" i="1"/>
  <c r="AG359" i="1"/>
  <c r="AK356" i="1"/>
  <c r="AJ349" i="1"/>
  <c r="AH339" i="1"/>
  <c r="AK336" i="1"/>
  <c r="AH328" i="1"/>
  <c r="AG326" i="1"/>
  <c r="AG309" i="1"/>
  <c r="AJ293" i="1"/>
  <c r="AJ276" i="1"/>
  <c r="AJ270" i="1"/>
  <c r="AG265" i="1"/>
  <c r="AG260" i="1"/>
  <c r="AK251" i="1"/>
  <c r="AK242" i="1"/>
  <c r="AG236" i="1"/>
  <c r="AG231" i="1"/>
  <c r="AI226" i="1"/>
  <c r="X225" i="1"/>
  <c r="AJ217" i="1"/>
  <c r="AG213" i="1"/>
  <c r="AG209" i="1"/>
  <c r="AG207" i="1"/>
  <c r="AG198" i="1"/>
  <c r="AK192" i="1"/>
  <c r="AJ474" i="1"/>
  <c r="AJ463" i="1"/>
  <c r="AK409" i="1"/>
  <c r="AH407" i="1"/>
  <c r="AI390" i="1"/>
  <c r="AI378" i="1"/>
  <c r="X352" i="1"/>
  <c r="AI349" i="1"/>
  <c r="AG339" i="1"/>
  <c r="AJ336" i="1"/>
  <c r="AG328" i="1"/>
  <c r="AK317" i="1"/>
  <c r="AI293" i="1"/>
  <c r="AK287" i="1"/>
  <c r="AI276" i="1"/>
  <c r="X274" i="1"/>
  <c r="AI270" i="1"/>
  <c r="AK266" i="1"/>
  <c r="AJ251" i="1"/>
  <c r="AJ568" i="1"/>
  <c r="X411" i="1"/>
  <c r="AH365" i="1"/>
  <c r="AG343" i="1"/>
  <c r="AJ289" i="1"/>
  <c r="AK283" i="1"/>
  <c r="AG268" i="1"/>
  <c r="AH266" i="1"/>
  <c r="AJ253" i="1"/>
  <c r="AG251" i="1"/>
  <c r="AJ243" i="1"/>
  <c r="AG242" i="1"/>
  <c r="AH237" i="1"/>
  <c r="AH232" i="1"/>
  <c r="AK227" i="1"/>
  <c r="X226" i="1"/>
  <c r="AJ221" i="1"/>
  <c r="AJ218" i="1"/>
  <c r="AH214" i="1"/>
  <c r="AK212" i="1"/>
  <c r="AH199" i="1"/>
  <c r="AJ193" i="1"/>
  <c r="AG192" i="1"/>
  <c r="AI182" i="1"/>
  <c r="X181" i="1"/>
  <c r="AH169" i="1"/>
  <c r="AH160" i="1"/>
  <c r="AI156" i="1"/>
  <c r="AJ149" i="1"/>
  <c r="AI417" i="1"/>
  <c r="AK396" i="1"/>
  <c r="X378" i="1"/>
  <c r="AG365" i="1"/>
  <c r="AJ321" i="1"/>
  <c r="AJ312" i="1"/>
  <c r="X297" i="1"/>
  <c r="X295" i="1"/>
  <c r="AH289" i="1"/>
  <c r="AJ283" i="1"/>
  <c r="AH279" i="1"/>
  <c r="AH474" i="1"/>
  <c r="AJ447" i="1"/>
  <c r="AG378" i="1"/>
  <c r="X325" i="1"/>
  <c r="AG304" i="1"/>
  <c r="AK267" i="1"/>
  <c r="AK254" i="1"/>
  <c r="X253" i="1"/>
  <c r="AG217" i="1"/>
  <c r="AK206" i="1"/>
  <c r="AG193" i="1"/>
  <c r="AG181" i="1"/>
  <c r="X167" i="1"/>
  <c r="AJ155" i="1"/>
  <c r="AH143" i="1"/>
  <c r="AI120" i="1"/>
  <c r="AH110" i="1"/>
  <c r="AI101" i="1"/>
  <c r="AG77" i="1"/>
  <c r="AI73" i="1"/>
  <c r="AG62" i="1"/>
  <c r="X53" i="1"/>
  <c r="AG22" i="1"/>
  <c r="AG474" i="1"/>
  <c r="AG458" i="1"/>
  <c r="AI447" i="1"/>
  <c r="AK370" i="1"/>
  <c r="X345" i="1"/>
  <c r="X291" i="1"/>
  <c r="AJ267" i="1"/>
  <c r="X265" i="1"/>
  <c r="AJ254" i="1"/>
  <c r="AJ206" i="1"/>
  <c r="AK186" i="1"/>
  <c r="AK172" i="1"/>
  <c r="AK160" i="1"/>
  <c r="AI155" i="1"/>
  <c r="AK149" i="1"/>
  <c r="AG143" i="1"/>
  <c r="AK138" i="1"/>
  <c r="AH120" i="1"/>
  <c r="AG110" i="1"/>
  <c r="AH73" i="1"/>
  <c r="X38" i="1"/>
  <c r="AJ455" i="1"/>
  <c r="AH447" i="1"/>
  <c r="X327" i="1"/>
  <c r="X304" i="1"/>
  <c r="AK269" i="1"/>
  <c r="AI254" i="1"/>
  <c r="AK232" i="1"/>
  <c r="X217" i="1"/>
  <c r="AJ215" i="1"/>
  <c r="AK208" i="1"/>
  <c r="AH206" i="1"/>
  <c r="X193" i="1"/>
  <c r="AJ186" i="1"/>
  <c r="AJ184" i="1"/>
  <c r="AK182" i="1"/>
  <c r="AJ172" i="1"/>
  <c r="AJ170" i="1"/>
  <c r="AJ160" i="1"/>
  <c r="AH155" i="1"/>
  <c r="AI149" i="1"/>
  <c r="AK144" i="1"/>
  <c r="AJ138" i="1"/>
  <c r="AG120" i="1"/>
  <c r="X101" i="1"/>
  <c r="AK84" i="1"/>
  <c r="X77" i="1"/>
  <c r="AG73" i="1"/>
  <c r="X62" i="1"/>
  <c r="AK476" i="1"/>
  <c r="AK353" i="1"/>
  <c r="AI336" i="1"/>
  <c r="X332" i="1"/>
  <c r="AJ317" i="1"/>
  <c r="AI269" i="1"/>
  <c r="AH254" i="1"/>
  <c r="AK238" i="1"/>
  <c r="AJ232" i="1"/>
  <c r="AH226" i="1"/>
  <c r="AH224" i="1"/>
  <c r="AK218" i="1"/>
  <c r="AG215" i="1"/>
  <c r="AJ208" i="1"/>
  <c r="AH184" i="1"/>
  <c r="AJ182" i="1"/>
  <c r="AI172" i="1"/>
  <c r="AH170" i="1"/>
  <c r="AI160" i="1"/>
  <c r="AG155" i="1"/>
  <c r="AH149" i="1"/>
  <c r="AJ144" i="1"/>
  <c r="X143" i="1"/>
  <c r="AI138" i="1"/>
  <c r="X110" i="1"/>
  <c r="AJ84" i="1"/>
  <c r="AK36" i="1"/>
  <c r="AI372" i="1"/>
  <c r="AJ353" i="1"/>
  <c r="X320" i="1"/>
  <c r="AI317" i="1"/>
  <c r="AI312" i="1"/>
  <c r="AH295" i="1"/>
  <c r="AI283" i="1"/>
  <c r="AG269" i="1"/>
  <c r="AJ238" i="1"/>
  <c r="AI232" i="1"/>
  <c r="AG226" i="1"/>
  <c r="AG224" i="1"/>
  <c r="AI218" i="1"/>
  <c r="AI208" i="1"/>
  <c r="X204" i="1"/>
  <c r="AK202" i="1"/>
  <c r="AK200" i="1"/>
  <c r="AH182" i="1"/>
  <c r="AJ175" i="1"/>
  <c r="AH172" i="1"/>
  <c r="AG160" i="1"/>
  <c r="AG149" i="1"/>
  <c r="AI144" i="1"/>
  <c r="AH138" i="1"/>
  <c r="X120" i="1"/>
  <c r="AK95" i="1"/>
  <c r="AK85" i="1"/>
  <c r="AI84" i="1"/>
  <c r="X73" i="1"/>
  <c r="AH417" i="1"/>
  <c r="AH390" i="1"/>
  <c r="AH355" i="1"/>
  <c r="AH312" i="1"/>
  <c r="AJ310" i="1"/>
  <c r="AG295" i="1"/>
  <c r="AH283" i="1"/>
  <c r="AH276" i="1"/>
  <c r="AI273" i="1"/>
  <c r="AJ242" i="1"/>
  <c r="AI238" i="1"/>
  <c r="AG232" i="1"/>
  <c r="AH218" i="1"/>
  <c r="AJ210" i="1"/>
  <c r="AH208" i="1"/>
  <c r="AH202" i="1"/>
  <c r="AJ200" i="1"/>
  <c r="AG182" i="1"/>
  <c r="AI175" i="1"/>
  <c r="X163" i="1"/>
  <c r="AK156" i="1"/>
  <c r="X155" i="1"/>
  <c r="AH144" i="1"/>
  <c r="AG138" i="1"/>
  <c r="AK132" i="1"/>
  <c r="AK116" i="1"/>
  <c r="AJ95" i="1"/>
  <c r="AJ85" i="1"/>
  <c r="AG417" i="1"/>
  <c r="AG390" i="1"/>
  <c r="AG355" i="1"/>
  <c r="AK292" i="1"/>
  <c r="AG276" i="1"/>
  <c r="AH273" i="1"/>
  <c r="AK271" i="1"/>
  <c r="AI251" i="1"/>
  <c r="AI242" i="1"/>
  <c r="X236" i="1"/>
  <c r="X224" i="1"/>
  <c r="AG218" i="1"/>
  <c r="AG208" i="1"/>
  <c r="AG202" i="1"/>
  <c r="X198" i="1"/>
  <c r="AK189" i="1"/>
  <c r="AH175" i="1"/>
  <c r="AJ166" i="1"/>
  <c r="AJ161" i="1"/>
  <c r="X160" i="1"/>
  <c r="AJ156" i="1"/>
  <c r="X149" i="1"/>
  <c r="AK145" i="1"/>
  <c r="AG144" i="1"/>
  <c r="AJ132" i="1"/>
  <c r="AK125" i="1"/>
  <c r="AJ116" i="1"/>
  <c r="AK103" i="1"/>
  <c r="AK100" i="1"/>
  <c r="AI95" i="1"/>
  <c r="AK91" i="1"/>
  <c r="AI85" i="1"/>
  <c r="AG84" i="1"/>
  <c r="AK81" i="1"/>
  <c r="AJ76" i="1"/>
  <c r="AK66" i="1"/>
  <c r="AJ61" i="1"/>
  <c r="AJ57" i="1"/>
  <c r="X540" i="1"/>
  <c r="AG492" i="1"/>
  <c r="AI419" i="1"/>
  <c r="AJ292" i="1"/>
  <c r="AJ287" i="1"/>
  <c r="X283" i="1"/>
  <c r="AG273" i="1"/>
  <c r="AJ266" i="1"/>
  <c r="AH264" i="1"/>
  <c r="AH251" i="1"/>
  <c r="AK248" i="1"/>
  <c r="AH242" i="1"/>
  <c r="X232" i="1"/>
  <c r="AI196" i="1"/>
  <c r="AI189" i="1"/>
  <c r="AK183" i="1"/>
  <c r="X182" i="1"/>
  <c r="AG175" i="1"/>
  <c r="AI166" i="1"/>
  <c r="AI161" i="1"/>
  <c r="AH156" i="1"/>
  <c r="AJ145" i="1"/>
  <c r="X138" i="1"/>
  <c r="AI132" i="1"/>
  <c r="AJ125" i="1"/>
  <c r="AI116" i="1"/>
  <c r="AJ103" i="1"/>
  <c r="AJ100" i="1"/>
  <c r="AK96" i="1"/>
  <c r="AH95" i="1"/>
  <c r="AJ91" i="1"/>
  <c r="AK86" i="1"/>
  <c r="AH85" i="1"/>
  <c r="AJ81" i="1"/>
  <c r="AI76" i="1"/>
  <c r="AG349" i="1"/>
  <c r="AI343" i="1"/>
  <c r="AG335" i="1"/>
  <c r="AG333" i="1"/>
  <c r="AH321" i="1"/>
  <c r="AI243" i="1"/>
  <c r="AJ227" i="1"/>
  <c r="AH221" i="1"/>
  <c r="AI219" i="1"/>
  <c r="AH212" i="1"/>
  <c r="AI205" i="1"/>
  <c r="AK199" i="1"/>
  <c r="AH192" i="1"/>
  <c r="X187" i="1"/>
  <c r="AJ185" i="1"/>
  <c r="AH183" i="1"/>
  <c r="X180" i="1"/>
  <c r="AI171" i="1"/>
  <c r="AJ169" i="1"/>
  <c r="X156" i="1"/>
  <c r="AK151" i="1"/>
  <c r="AI148" i="1"/>
  <c r="AG145" i="1"/>
  <c r="AI142" i="1"/>
  <c r="AH136" i="1"/>
  <c r="AK133" i="1"/>
  <c r="AK129" i="1"/>
  <c r="AK126" i="1"/>
  <c r="AG125" i="1"/>
  <c r="AJ119" i="1"/>
  <c r="AK113" i="1"/>
  <c r="AI108" i="1"/>
  <c r="AJ104" i="1"/>
  <c r="AG103" i="1"/>
  <c r="AG100" i="1"/>
  <c r="AH96" i="1"/>
  <c r="X95" i="1"/>
  <c r="AK92" i="1"/>
  <c r="AG91" i="1"/>
  <c r="AH86" i="1"/>
  <c r="X85" i="1"/>
  <c r="AJ82" i="1"/>
  <c r="AG81" i="1"/>
  <c r="AG6" i="1"/>
  <c r="AI13" i="1"/>
  <c r="L23" i="1"/>
  <c r="AH24" i="1"/>
  <c r="AJ25" i="1"/>
  <c r="AJ28" i="1"/>
  <c r="M30" i="1"/>
  <c r="AI32" i="1"/>
  <c r="AG38" i="1"/>
  <c r="AK40" i="1"/>
  <c r="AJ40" i="1"/>
  <c r="AI40" i="1"/>
  <c r="AH40" i="1"/>
  <c r="X41" i="1"/>
  <c r="AI42" i="1"/>
  <c r="AH46" i="1"/>
  <c r="AK48" i="1"/>
  <c r="AJ48" i="1"/>
  <c r="AH49" i="1"/>
  <c r="AK54" i="1"/>
  <c r="AG56" i="1"/>
  <c r="M58" i="1" a="1"/>
  <c r="M58" i="1" s="1"/>
  <c r="AH59" i="1"/>
  <c r="AG61" i="1"/>
  <c r="M65" i="1"/>
  <c r="AI66" i="1"/>
  <c r="L68" i="1"/>
  <c r="X71" i="1"/>
  <c r="AK72" i="1"/>
  <c r="L75" i="1"/>
  <c r="M75" i="1" s="1"/>
  <c r="AH76" i="1"/>
  <c r="AK78" i="1"/>
  <c r="X80" i="1"/>
  <c r="AK83" i="1"/>
  <c r="AI87" i="1"/>
  <c r="AG97" i="1"/>
  <c r="L99" i="1"/>
  <c r="AK101" i="1"/>
  <c r="AI103" i="1"/>
  <c r="AI110" i="1"/>
  <c r="AG112" i="1"/>
  <c r="AH116" i="1"/>
  <c r="AK120" i="1"/>
  <c r="AI137" i="1"/>
  <c r="AJ139" i="1"/>
  <c r="AJ143" i="1"/>
  <c r="AI145" i="1"/>
  <c r="AG169" i="1"/>
  <c r="AK176" i="1"/>
  <c r="AH185" i="1"/>
  <c r="AG187" i="1"/>
  <c r="AH243" i="1"/>
  <c r="AJ259" i="1"/>
  <c r="AG264" i="1"/>
  <c r="AJ340" i="1"/>
  <c r="AI409" i="1"/>
  <c r="AK443" i="1"/>
  <c r="AJ495" i="1"/>
  <c r="AI495" i="1"/>
  <c r="AH495" i="1"/>
  <c r="AG495" i="1"/>
  <c r="X495" i="1"/>
  <c r="L495" i="1"/>
  <c r="AK495" i="1"/>
  <c r="AK25" i="1"/>
  <c r="AK28" i="1"/>
  <c r="AG31" i="1"/>
  <c r="AJ32" i="1"/>
  <c r="AH38" i="1"/>
  <c r="AJ42" i="1"/>
  <c r="M44" i="1"/>
  <c r="L44" i="1"/>
  <c r="AI46" i="1"/>
  <c r="AI49" i="1"/>
  <c r="X51" i="1"/>
  <c r="AI56" i="1"/>
  <c r="AI59" i="1"/>
  <c r="AH61" i="1"/>
  <c r="AJ66" i="1"/>
  <c r="AK70" i="1"/>
  <c r="AJ70" i="1"/>
  <c r="AI70" i="1"/>
  <c r="AH70" i="1"/>
  <c r="AK76" i="1"/>
  <c r="X82" i="1"/>
  <c r="AJ87" i="1"/>
  <c r="AH91" i="1"/>
  <c r="AK94" i="1"/>
  <c r="AJ94" i="1"/>
  <c r="AI94" i="1"/>
  <c r="AH94" i="1"/>
  <c r="AG94" i="1"/>
  <c r="M94" i="1"/>
  <c r="AH97" i="1"/>
  <c r="M99" i="1"/>
  <c r="AJ110" i="1"/>
  <c r="AH112" i="1"/>
  <c r="AK115" i="1"/>
  <c r="AJ115" i="1"/>
  <c r="AI115" i="1"/>
  <c r="AH115" i="1"/>
  <c r="AG115" i="1"/>
  <c r="L123" i="1"/>
  <c r="X127" i="1"/>
  <c r="AJ127" i="1"/>
  <c r="AI127" i="1"/>
  <c r="AH127" i="1"/>
  <c r="AG127" i="1"/>
  <c r="L127" i="1"/>
  <c r="M127" i="1" s="1" a="1"/>
  <c r="M127" i="1" s="1"/>
  <c r="X131" i="1"/>
  <c r="AJ137" i="1"/>
  <c r="AK143" i="1"/>
  <c r="AG154" i="1"/>
  <c r="AG156" i="1"/>
  <c r="X161" i="1"/>
  <c r="AI169" i="1"/>
  <c r="AI185" i="1"/>
  <c r="X194" i="1"/>
  <c r="L194" i="1"/>
  <c r="M194" i="1" s="1"/>
  <c r="AH194" i="1"/>
  <c r="AG194" i="1"/>
  <c r="AK194" i="1"/>
  <c r="AJ194" i="1"/>
  <c r="AI194" i="1"/>
  <c r="M214" i="1" a="1"/>
  <c r="M214" i="1" s="1"/>
  <c r="AK243" i="1"/>
  <c r="AK255" i="1"/>
  <c r="AJ255" i="1"/>
  <c r="AI255" i="1"/>
  <c r="AH255" i="1"/>
  <c r="AG255" i="1"/>
  <c r="X255" i="1"/>
  <c r="AK258" i="1"/>
  <c r="AJ258" i="1"/>
  <c r="AI258" i="1"/>
  <c r="AH258" i="1"/>
  <c r="X258" i="1"/>
  <c r="AG258" i="1"/>
  <c r="L258" i="1"/>
  <c r="AG291" i="1"/>
  <c r="AK340" i="1"/>
  <c r="X343" i="1"/>
  <c r="AH349" i="1"/>
  <c r="AH396" i="1"/>
  <c r="X401" i="1"/>
  <c r="AJ409" i="1"/>
  <c r="AK87" i="1"/>
  <c r="AJ97" i="1"/>
  <c r="AJ163" i="1"/>
  <c r="AI163" i="1"/>
  <c r="AH163" i="1"/>
  <c r="AG163" i="1"/>
  <c r="AJ179" i="1"/>
  <c r="AH179" i="1"/>
  <c r="AG179" i="1"/>
  <c r="X179" i="1"/>
  <c r="AK215" i="1"/>
  <c r="AJ290" i="1"/>
  <c r="AH290" i="1"/>
  <c r="AG290" i="1"/>
  <c r="AI290" i="1"/>
  <c r="X290" i="1"/>
  <c r="L290" i="1"/>
  <c r="M290" i="1" s="1" a="1"/>
  <c r="M290" i="1" s="1"/>
  <c r="AK290" i="1"/>
  <c r="M338" i="1"/>
  <c r="M78" i="1"/>
  <c r="AI165" i="1"/>
  <c r="AG165" i="1"/>
  <c r="X165" i="1"/>
  <c r="AJ174" i="1"/>
  <c r="AH174" i="1"/>
  <c r="M179" i="1"/>
  <c r="AJ222" i="1"/>
  <c r="AI222" i="1"/>
  <c r="AH222" i="1"/>
  <c r="AG222" i="1"/>
  <c r="X222" i="1"/>
  <c r="AK222" i="1"/>
  <c r="M222" i="1"/>
  <c r="L222" i="1"/>
  <c r="AI244" i="1"/>
  <c r="AG244" i="1"/>
  <c r="X244" i="1"/>
  <c r="L244" i="1"/>
  <c r="M244" i="1" s="1"/>
  <c r="AK244" i="1"/>
  <c r="AJ244" i="1"/>
  <c r="AH244" i="1"/>
  <c r="AK263" i="1"/>
  <c r="AJ263" i="1"/>
  <c r="AI263" i="1"/>
  <c r="AH263" i="1"/>
  <c r="AG263" i="1"/>
  <c r="AK332" i="1"/>
  <c r="AG380" i="1"/>
  <c r="X380" i="1"/>
  <c r="M380" i="1"/>
  <c r="AK380" i="1"/>
  <c r="AJ380" i="1"/>
  <c r="AI380" i="1"/>
  <c r="AH380" i="1"/>
  <c r="AK154" i="1"/>
  <c r="AJ154" i="1"/>
  <c r="AI154" i="1"/>
  <c r="L188" i="1"/>
  <c r="M188" i="1" s="1"/>
  <c r="AG188" i="1"/>
  <c r="AG220" i="1"/>
  <c r="X220" i="1"/>
  <c r="M220" i="1"/>
  <c r="L220" i="1"/>
  <c r="AK220" i="1"/>
  <c r="AJ220" i="1"/>
  <c r="AI220" i="1"/>
  <c r="AH220" i="1"/>
  <c r="AK281" i="1"/>
  <c r="AJ281" i="1"/>
  <c r="AI281" i="1"/>
  <c r="AH281" i="1"/>
  <c r="AG281" i="1"/>
  <c r="X281" i="1"/>
  <c r="AJ306" i="1"/>
  <c r="AH306" i="1"/>
  <c r="AG306" i="1"/>
  <c r="X306" i="1"/>
  <c r="L306" i="1"/>
  <c r="M306" i="1" s="1"/>
  <c r="AK306" i="1"/>
  <c r="AI306" i="1"/>
  <c r="AH140" i="1"/>
  <c r="AG140" i="1"/>
  <c r="X140" i="1"/>
  <c r="AK241" i="1"/>
  <c r="AJ241" i="1"/>
  <c r="AI241" i="1"/>
  <c r="AH241" i="1"/>
  <c r="AG241" i="1"/>
  <c r="L241" i="1"/>
  <c r="M241" i="1" s="1"/>
  <c r="AI249" i="1"/>
  <c r="AG249" i="1"/>
  <c r="X249" i="1"/>
  <c r="M249" i="1"/>
  <c r="AK249" i="1"/>
  <c r="AJ249" i="1"/>
  <c r="AH249" i="1"/>
  <c r="L249" i="1"/>
  <c r="L380" i="1"/>
  <c r="AK108" i="1"/>
  <c r="M126" i="1"/>
  <c r="L126" i="1"/>
  <c r="AH146" i="1"/>
  <c r="AG151" i="1"/>
  <c r="X151" i="1"/>
  <c r="L154" i="1"/>
  <c r="AG162" i="1"/>
  <c r="X162" i="1"/>
  <c r="M165" i="1"/>
  <c r="AJ178" i="1"/>
  <c r="AH178" i="1"/>
  <c r="L178" i="1"/>
  <c r="M178" i="1" s="1" a="1"/>
  <c r="M178" i="1" s="1"/>
  <c r="AJ190" i="1"/>
  <c r="AK190" i="1"/>
  <c r="AI190" i="1"/>
  <c r="AH190" i="1"/>
  <c r="AG190" i="1"/>
  <c r="AK247" i="1"/>
  <c r="AJ247" i="1"/>
  <c r="AI247" i="1"/>
  <c r="AH247" i="1"/>
  <c r="AG247" i="1"/>
  <c r="AH261" i="1"/>
  <c r="X261" i="1"/>
  <c r="L261" i="1"/>
  <c r="M261" i="1" s="1"/>
  <c r="AJ261" i="1"/>
  <c r="M263" i="1"/>
  <c r="AK272" i="1"/>
  <c r="AJ272" i="1"/>
  <c r="AI272" i="1"/>
  <c r="AH272" i="1"/>
  <c r="AG272" i="1"/>
  <c r="L281" i="1"/>
  <c r="M281" i="1" s="1"/>
  <c r="X293" i="1"/>
  <c r="AK330" i="1"/>
  <c r="AJ330" i="1"/>
  <c r="AI330" i="1"/>
  <c r="AH330" i="1"/>
  <c r="AG330" i="1"/>
  <c r="X330" i="1"/>
  <c r="M330" i="1"/>
  <c r="L330" i="1"/>
  <c r="AG78" i="1"/>
  <c r="L87" i="1"/>
  <c r="M87" i="1" s="1"/>
  <c r="L92" i="1"/>
  <c r="X98" i="1"/>
  <c r="X105" i="1"/>
  <c r="AH113" i="1"/>
  <c r="AG113" i="1"/>
  <c r="X117" i="1"/>
  <c r="AJ122" i="1"/>
  <c r="AI122" i="1"/>
  <c r="AH122" i="1"/>
  <c r="AG122" i="1"/>
  <c r="L140" i="1"/>
  <c r="M140" i="1" s="1"/>
  <c r="AK142" i="1"/>
  <c r="AJ142" i="1"/>
  <c r="M154" i="1"/>
  <c r="X157" i="1"/>
  <c r="L157" i="1"/>
  <c r="M157" i="1" s="1"/>
  <c r="AK163" i="1"/>
  <c r="AI179" i="1"/>
  <c r="AI195" i="1"/>
  <c r="AH195" i="1"/>
  <c r="AG195" i="1"/>
  <c r="X195" i="1"/>
  <c r="AK195" i="1"/>
  <c r="AJ195" i="1"/>
  <c r="L195" i="1"/>
  <c r="M195" i="1" s="1"/>
  <c r="AK211" i="1"/>
  <c r="AJ211" i="1"/>
  <c r="AH211" i="1"/>
  <c r="AG211" i="1"/>
  <c r="AI211" i="1"/>
  <c r="X211" i="1"/>
  <c r="AK229" i="1"/>
  <c r="AJ229" i="1"/>
  <c r="AI229" i="1"/>
  <c r="AH229" i="1"/>
  <c r="AG229" i="1"/>
  <c r="AK231" i="1"/>
  <c r="AJ480" i="1"/>
  <c r="AI480" i="1"/>
  <c r="AH480" i="1"/>
  <c r="AG480" i="1"/>
  <c r="X480" i="1"/>
  <c r="AK480" i="1"/>
  <c r="M480" i="1"/>
  <c r="L67" i="1"/>
  <c r="AH78" i="1"/>
  <c r="X83" i="1"/>
  <c r="M92" i="1"/>
  <c r="L108" i="1"/>
  <c r="AK136" i="1"/>
  <c r="AJ136" i="1"/>
  <c r="AI136" i="1"/>
  <c r="AK148" i="1"/>
  <c r="AJ148" i="1"/>
  <c r="X148" i="1"/>
  <c r="L151" i="1"/>
  <c r="M151" i="1" s="1"/>
  <c r="L162" i="1"/>
  <c r="M162" i="1" s="1"/>
  <c r="X174" i="1"/>
  <c r="AK179" i="1"/>
  <c r="X188" i="1"/>
  <c r="M190" i="1"/>
  <c r="AK201" i="1"/>
  <c r="AJ201" i="1"/>
  <c r="AI201" i="1"/>
  <c r="AG201" i="1"/>
  <c r="AH201" i="1"/>
  <c r="M201" i="1"/>
  <c r="AK223" i="1"/>
  <c r="AJ223" i="1"/>
  <c r="AI223" i="1"/>
  <c r="AH223" i="1"/>
  <c r="AG223" i="1"/>
  <c r="AK245" i="1"/>
  <c r="AI245" i="1"/>
  <c r="AH245" i="1"/>
  <c r="AG245" i="1"/>
  <c r="X245" i="1"/>
  <c r="L247" i="1"/>
  <c r="AI78" i="1"/>
  <c r="AG98" i="1"/>
  <c r="AG105" i="1"/>
  <c r="M108" i="1"/>
  <c r="L113" i="1"/>
  <c r="M113" i="1" s="1"/>
  <c r="AJ129" i="1"/>
  <c r="AI129" i="1"/>
  <c r="AH129" i="1"/>
  <c r="AG129" i="1"/>
  <c r="L142" i="1"/>
  <c r="M142" i="1" s="1"/>
  <c r="AK164" i="1"/>
  <c r="AJ164" i="1"/>
  <c r="AI164" i="1"/>
  <c r="AH164" i="1"/>
  <c r="L190" i="1"/>
  <c r="M199" i="1"/>
  <c r="AG205" i="1"/>
  <c r="X205" i="1"/>
  <c r="L205" i="1"/>
  <c r="AK205" i="1"/>
  <c r="L211" i="1"/>
  <c r="M211" i="1" s="1"/>
  <c r="L229" i="1"/>
  <c r="M229" i="1" s="1"/>
  <c r="M231" i="1"/>
  <c r="M237" i="1"/>
  <c r="AK239" i="1"/>
  <c r="AI239" i="1"/>
  <c r="AH239" i="1"/>
  <c r="AG239" i="1"/>
  <c r="X239" i="1"/>
  <c r="AJ239" i="1"/>
  <c r="L239" i="1"/>
  <c r="X241" i="1"/>
  <c r="M247" i="1"/>
  <c r="X263" i="1"/>
  <c r="AH105" i="1"/>
  <c r="M122" i="1"/>
  <c r="X126" i="1"/>
  <c r="X133" i="1"/>
  <c r="L136" i="1"/>
  <c r="M136" i="1" s="1"/>
  <c r="X145" i="1"/>
  <c r="M145" i="1"/>
  <c r="L148" i="1"/>
  <c r="X154" i="1"/>
  <c r="AH165" i="1"/>
  <c r="AG174" i="1"/>
  <c r="X178" i="1"/>
  <c r="AK180" i="1"/>
  <c r="AI180" i="1"/>
  <c r="AJ180" i="1"/>
  <c r="AH180" i="1"/>
  <c r="AG180" i="1"/>
  <c r="AH188" i="1"/>
  <c r="L201" i="1"/>
  <c r="AG261" i="1"/>
  <c r="X270" i="1"/>
  <c r="X272" i="1"/>
  <c r="AJ299" i="1"/>
  <c r="AI299" i="1"/>
  <c r="AH299" i="1"/>
  <c r="AG299" i="1"/>
  <c r="AK299" i="1"/>
  <c r="X299" i="1"/>
  <c r="M299" i="1"/>
  <c r="L299" i="1"/>
  <c r="AK320" i="1"/>
  <c r="AJ320" i="1"/>
  <c r="AI320" i="1"/>
  <c r="AH320" i="1"/>
  <c r="AJ354" i="1"/>
  <c r="AH354" i="1"/>
  <c r="AK354" i="1"/>
  <c r="AI354" i="1"/>
  <c r="AG354" i="1"/>
  <c r="X354" i="1"/>
  <c r="AJ364" i="1"/>
  <c r="AK399" i="1"/>
  <c r="AI399" i="1"/>
  <c r="AH399" i="1"/>
  <c r="AG399" i="1"/>
  <c r="X399" i="1"/>
  <c r="L399" i="1"/>
  <c r="AJ399" i="1"/>
  <c r="AK161" i="1"/>
  <c r="AJ197" i="1"/>
  <c r="AI197" i="1"/>
  <c r="AH209" i="1"/>
  <c r="X209" i="1"/>
  <c r="M236" i="1"/>
  <c r="X260" i="1"/>
  <c r="L272" i="1"/>
  <c r="M272" i="1" s="1"/>
  <c r="AJ278" i="1"/>
  <c r="X278" i="1"/>
  <c r="AK278" i="1"/>
  <c r="AI278" i="1"/>
  <c r="AH278" i="1"/>
  <c r="AG278" i="1"/>
  <c r="AK303" i="1"/>
  <c r="AJ303" i="1"/>
  <c r="AI303" i="1"/>
  <c r="AH303" i="1"/>
  <c r="AG303" i="1"/>
  <c r="X303" i="1"/>
  <c r="AJ341" i="1"/>
  <c r="AI341" i="1"/>
  <c r="AH341" i="1"/>
  <c r="AG341" i="1"/>
  <c r="X341" i="1"/>
  <c r="AK341" i="1"/>
  <c r="AG687" i="1"/>
  <c r="X687" i="1"/>
  <c r="AK687" i="1"/>
  <c r="AJ687" i="1"/>
  <c r="AI687" i="1"/>
  <c r="AH687" i="1"/>
  <c r="AJ257" i="1"/>
  <c r="AI257" i="1"/>
  <c r="AH257" i="1"/>
  <c r="AG257" i="1"/>
  <c r="X257" i="1"/>
  <c r="AK262" i="1"/>
  <c r="AI262" i="1"/>
  <c r="AH262" i="1"/>
  <c r="AG262" i="1"/>
  <c r="X262" i="1"/>
  <c r="M278" i="1"/>
  <c r="AH428" i="1"/>
  <c r="AG428" i="1"/>
  <c r="X428" i="1"/>
  <c r="AK428" i="1"/>
  <c r="AJ428" i="1"/>
  <c r="AI428" i="1"/>
  <c r="AK224" i="1"/>
  <c r="AJ224" i="1"/>
  <c r="AI224" i="1"/>
  <c r="AJ235" i="1"/>
  <c r="AK246" i="1"/>
  <c r="AJ246" i="1"/>
  <c r="AI246" i="1"/>
  <c r="AH246" i="1"/>
  <c r="AG246" i="1"/>
  <c r="AJ264" i="1"/>
  <c r="AG320" i="1"/>
  <c r="AK389" i="1"/>
  <c r="AK170" i="1"/>
  <c r="AI170" i="1"/>
  <c r="AG170" i="1"/>
  <c r="AK175" i="1"/>
  <c r="AI209" i="1"/>
  <c r="AG233" i="1"/>
  <c r="AH238" i="1"/>
  <c r="X238" i="1"/>
  <c r="L238" i="1"/>
  <c r="M238" i="1" s="1"/>
  <c r="L257" i="1"/>
  <c r="L262" i="1"/>
  <c r="M262" i="1" s="1"/>
  <c r="AH267" i="1"/>
  <c r="AG267" i="1"/>
  <c r="X267" i="1"/>
  <c r="L267" i="1"/>
  <c r="M267" i="1" s="1" a="1"/>
  <c r="M267" i="1" s="1"/>
  <c r="AK273" i="1"/>
  <c r="AK308" i="1"/>
  <c r="X318" i="1"/>
  <c r="L428" i="1"/>
  <c r="M428" i="1" s="1"/>
  <c r="X146" i="1"/>
  <c r="X197" i="1"/>
  <c r="AJ202" i="1"/>
  <c r="AI202" i="1"/>
  <c r="AI206" i="1"/>
  <c r="AG206" i="1"/>
  <c r="X206" i="1"/>
  <c r="M206" i="1"/>
  <c r="AJ209" i="1"/>
  <c r="L224" i="1"/>
  <c r="M224" i="1" s="1" a="1"/>
  <c r="M224" i="1" s="1"/>
  <c r="AK240" i="1"/>
  <c r="AJ240" i="1"/>
  <c r="AI240" i="1"/>
  <c r="AH240" i="1"/>
  <c r="AG240" i="1"/>
  <c r="L246" i="1"/>
  <c r="M246" i="1" s="1"/>
  <c r="M257" i="1"/>
  <c r="AK316" i="1"/>
  <c r="AK325" i="1"/>
  <c r="AJ325" i="1"/>
  <c r="AI325" i="1"/>
  <c r="AH325" i="1"/>
  <c r="AG325" i="1"/>
  <c r="AK337" i="1"/>
  <c r="AJ337" i="1"/>
  <c r="AI337" i="1"/>
  <c r="AH337" i="1"/>
  <c r="AG337" i="1"/>
  <c r="X337" i="1"/>
  <c r="L337" i="1"/>
  <c r="M337" i="1" s="1"/>
  <c r="AJ357" i="1"/>
  <c r="AI357" i="1"/>
  <c r="AH357" i="1"/>
  <c r="AG357" i="1"/>
  <c r="X357" i="1"/>
  <c r="L357" i="1"/>
  <c r="M357" i="1" s="1"/>
  <c r="AK377" i="1"/>
  <c r="AJ377" i="1"/>
  <c r="AI377" i="1"/>
  <c r="AG377" i="1"/>
  <c r="AH377" i="1"/>
  <c r="X377" i="1"/>
  <c r="L377" i="1"/>
  <c r="M377" i="1" s="1" a="1"/>
  <c r="M377" i="1" s="1"/>
  <c r="L175" i="1"/>
  <c r="M175" i="1" s="1"/>
  <c r="AK196" i="1"/>
  <c r="AJ196" i="1"/>
  <c r="AH196" i="1"/>
  <c r="AG196" i="1"/>
  <c r="AK209" i="1"/>
  <c r="AK214" i="1"/>
  <c r="AJ214" i="1"/>
  <c r="AI214" i="1"/>
  <c r="AG214" i="1"/>
  <c r="AJ271" i="1"/>
  <c r="AI271" i="1"/>
  <c r="AH271" i="1"/>
  <c r="AG271" i="1"/>
  <c r="X271" i="1"/>
  <c r="AJ279" i="1"/>
  <c r="AK310" i="1"/>
  <c r="AK345" i="1"/>
  <c r="AJ345" i="1"/>
  <c r="AI345" i="1"/>
  <c r="AH345" i="1"/>
  <c r="AG345" i="1"/>
  <c r="AI375" i="1"/>
  <c r="AG375" i="1"/>
  <c r="X375" i="1"/>
  <c r="AK375" i="1"/>
  <c r="AJ375" i="1"/>
  <c r="AH375" i="1"/>
  <c r="AG146" i="1"/>
  <c r="X170" i="1"/>
  <c r="AG197" i="1"/>
  <c r="L202" i="1"/>
  <c r="M202" i="1" s="1"/>
  <c r="L206" i="1"/>
  <c r="AH227" i="1"/>
  <c r="X227" i="1"/>
  <c r="M227" i="1"/>
  <c r="L240" i="1"/>
  <c r="M240" i="1" s="1"/>
  <c r="AK250" i="1"/>
  <c r="AJ250" i="1"/>
  <c r="AI250" i="1"/>
  <c r="AH250" i="1"/>
  <c r="AG250" i="1"/>
  <c r="AK314" i="1"/>
  <c r="AJ314" i="1"/>
  <c r="AI314" i="1"/>
  <c r="AH314" i="1"/>
  <c r="AG314" i="1"/>
  <c r="X314" i="1"/>
  <c r="L325" i="1"/>
  <c r="M325" i="1" s="1"/>
  <c r="L196" i="1"/>
  <c r="M196" i="1" s="1"/>
  <c r="AH197" i="1"/>
  <c r="AK210" i="1"/>
  <c r="AI210" i="1"/>
  <c r="AH210" i="1"/>
  <c r="AG210" i="1"/>
  <c r="X210" i="1"/>
  <c r="AK217" i="1"/>
  <c r="L218" i="1"/>
  <c r="M218" i="1" s="1" a="1"/>
  <c r="M218" i="1" s="1"/>
  <c r="AI221" i="1"/>
  <c r="AG221" i="1"/>
  <c r="X221" i="1"/>
  <c r="M221" i="1"/>
  <c r="AG238" i="1"/>
  <c r="X246" i="1"/>
  <c r="AK257" i="1"/>
  <c r="AJ262" i="1"/>
  <c r="AI267" i="1"/>
  <c r="L271" i="1"/>
  <c r="M271" i="1" s="1"/>
  <c r="AK275" i="1"/>
  <c r="AJ275" i="1"/>
  <c r="AI275" i="1"/>
  <c r="AH275" i="1"/>
  <c r="AG275" i="1"/>
  <c r="X275" i="1"/>
  <c r="L275" i="1"/>
  <c r="M275" i="1" s="1"/>
  <c r="AK291" i="1"/>
  <c r="AJ291" i="1"/>
  <c r="AI291" i="1"/>
  <c r="AH291" i="1"/>
  <c r="AI323" i="1"/>
  <c r="AH323" i="1"/>
  <c r="AG323" i="1"/>
  <c r="X323" i="1"/>
  <c r="L323" i="1"/>
  <c r="M323" i="1" s="1"/>
  <c r="L375" i="1"/>
  <c r="M375" i="1" s="1"/>
  <c r="X403" i="1"/>
  <c r="AI424" i="1"/>
  <c r="AG424" i="1"/>
  <c r="AK424" i="1"/>
  <c r="AJ424" i="1"/>
  <c r="AH424" i="1"/>
  <c r="X424" i="1"/>
  <c r="L424" i="1"/>
  <c r="M424" i="1" s="1"/>
  <c r="AK406" i="1"/>
  <c r="AJ406" i="1"/>
  <c r="AI406" i="1"/>
  <c r="AH406" i="1"/>
  <c r="AG406" i="1"/>
  <c r="X552" i="1"/>
  <c r="AH215" i="1"/>
  <c r="AI235" i="1"/>
  <c r="AI264" i="1"/>
  <c r="AJ273" i="1"/>
  <c r="AI279" i="1"/>
  <c r="AJ284" i="1"/>
  <c r="X284" i="1"/>
  <c r="L358" i="1"/>
  <c r="AK358" i="1"/>
  <c r="AJ358" i="1"/>
  <c r="AI358" i="1"/>
  <c r="AH358" i="1"/>
  <c r="AG358" i="1"/>
  <c r="AK526" i="1"/>
  <c r="AJ526" i="1"/>
  <c r="AI526" i="1"/>
  <c r="AH526" i="1"/>
  <c r="X526" i="1"/>
  <c r="AG526" i="1"/>
  <c r="AI215" i="1"/>
  <c r="AG277" i="1"/>
  <c r="M277" i="1"/>
  <c r="AK324" i="1"/>
  <c r="AJ324" i="1"/>
  <c r="AI324" i="1"/>
  <c r="AH324" i="1"/>
  <c r="AG324" i="1"/>
  <c r="X324" i="1"/>
  <c r="AK326" i="1"/>
  <c r="AK331" i="1"/>
  <c r="AJ331" i="1"/>
  <c r="AI331" i="1"/>
  <c r="AH331" i="1"/>
  <c r="AG331" i="1"/>
  <c r="X331" i="1"/>
  <c r="AK363" i="1"/>
  <c r="AI363" i="1"/>
  <c r="AG363" i="1"/>
  <c r="AJ363" i="1"/>
  <c r="AH363" i="1"/>
  <c r="X363" i="1"/>
  <c r="AK394" i="1"/>
  <c r="AJ394" i="1"/>
  <c r="AH394" i="1"/>
  <c r="AI394" i="1"/>
  <c r="AG394" i="1"/>
  <c r="X394" i="1"/>
  <c r="L406" i="1"/>
  <c r="M406" i="1" s="1"/>
  <c r="AJ425" i="1"/>
  <c r="AK425" i="1"/>
  <c r="AI425" i="1"/>
  <c r="AH425" i="1"/>
  <c r="AG425" i="1"/>
  <c r="X425" i="1"/>
  <c r="L425" i="1"/>
  <c r="M425" i="1" s="1"/>
  <c r="AK295" i="1"/>
  <c r="AI313" i="1"/>
  <c r="AH313" i="1"/>
  <c r="AG313" i="1"/>
  <c r="X313" i="1"/>
  <c r="M313" i="1"/>
  <c r="L313" i="1"/>
  <c r="AK315" i="1"/>
  <c r="AJ315" i="1"/>
  <c r="AI315" i="1"/>
  <c r="AH315" i="1"/>
  <c r="AG315" i="1"/>
  <c r="X315" i="1"/>
  <c r="AK321" i="1"/>
  <c r="AI329" i="1"/>
  <c r="AH329" i="1"/>
  <c r="AG329" i="1"/>
  <c r="X329" i="1"/>
  <c r="L329" i="1"/>
  <c r="M329" i="1" s="1"/>
  <c r="X361" i="1"/>
  <c r="AK400" i="1"/>
  <c r="AJ400" i="1"/>
  <c r="AH400" i="1"/>
  <c r="AG400" i="1"/>
  <c r="AI400" i="1"/>
  <c r="X400" i="1"/>
  <c r="L400" i="1"/>
  <c r="M400" i="1" s="1"/>
  <c r="AG442" i="1"/>
  <c r="L442" i="1"/>
  <c r="M442" i="1" s="1"/>
  <c r="AK442" i="1"/>
  <c r="AJ442" i="1"/>
  <c r="AI442" i="1"/>
  <c r="AH442" i="1"/>
  <c r="AK454" i="1"/>
  <c r="AJ454" i="1"/>
  <c r="AI454" i="1"/>
  <c r="AH454" i="1"/>
  <c r="AG454" i="1"/>
  <c r="AK473" i="1"/>
  <c r="AJ473" i="1"/>
  <c r="AI473" i="1"/>
  <c r="AH473" i="1"/>
  <c r="AG473" i="1"/>
  <c r="X473" i="1"/>
  <c r="L473" i="1"/>
  <c r="M473" i="1" s="1"/>
  <c r="X233" i="1"/>
  <c r="L270" i="1"/>
  <c r="AH274" i="1"/>
  <c r="AG274" i="1"/>
  <c r="L277" i="1"/>
  <c r="AJ280" i="1"/>
  <c r="AI280" i="1"/>
  <c r="AH280" i="1"/>
  <c r="L293" i="1"/>
  <c r="M293" i="1" s="1"/>
  <c r="X305" i="1"/>
  <c r="L324" i="1"/>
  <c r="M324" i="1" s="1"/>
  <c r="L331" i="1"/>
  <c r="AH340" i="1"/>
  <c r="AG340" i="1"/>
  <c r="X340" i="1"/>
  <c r="M340" i="1"/>
  <c r="M342" i="1"/>
  <c r="AK342" i="1"/>
  <c r="AJ342" i="1"/>
  <c r="AI342" i="1"/>
  <c r="AH342" i="1"/>
  <c r="AG342" i="1"/>
  <c r="X342" i="1"/>
  <c r="M361" i="1"/>
  <c r="L363" i="1"/>
  <c r="M363" i="1" s="1"/>
  <c r="AK388" i="1"/>
  <c r="AJ388" i="1"/>
  <c r="AH388" i="1"/>
  <c r="AI388" i="1"/>
  <c r="AG388" i="1"/>
  <c r="X388" i="1"/>
  <c r="L394" i="1"/>
  <c r="M394" i="1" s="1"/>
  <c r="AK491" i="1"/>
  <c r="AJ491" i="1"/>
  <c r="AI491" i="1"/>
  <c r="AH491" i="1"/>
  <c r="AG491" i="1"/>
  <c r="X491" i="1"/>
  <c r="M491" i="1"/>
  <c r="L491" i="1"/>
  <c r="L260" i="1"/>
  <c r="AK307" i="1"/>
  <c r="AJ307" i="1"/>
  <c r="AI307" i="1"/>
  <c r="AH307" i="1"/>
  <c r="AG307" i="1"/>
  <c r="X307" i="1"/>
  <c r="AK309" i="1"/>
  <c r="X338" i="1"/>
  <c r="AK338" i="1"/>
  <c r="AJ338" i="1"/>
  <c r="AI338" i="1"/>
  <c r="AH338" i="1"/>
  <c r="AG338" i="1"/>
  <c r="AJ355" i="1"/>
  <c r="AI386" i="1"/>
  <c r="AG386" i="1"/>
  <c r="X386" i="1"/>
  <c r="AK386" i="1"/>
  <c r="AJ386" i="1"/>
  <c r="AH386" i="1"/>
  <c r="AI392" i="1"/>
  <c r="AG392" i="1"/>
  <c r="X392" i="1"/>
  <c r="AK392" i="1"/>
  <c r="AJ392" i="1"/>
  <c r="AH392" i="1"/>
  <c r="X406" i="1"/>
  <c r="AK421" i="1"/>
  <c r="AJ421" i="1"/>
  <c r="AI421" i="1"/>
  <c r="AH421" i="1"/>
  <c r="L454" i="1"/>
  <c r="M454" i="1" s="1"/>
  <c r="M260" i="1"/>
  <c r="AJ269" i="1"/>
  <c r="AH269" i="1"/>
  <c r="L274" i="1"/>
  <c r="M274" i="1" s="1"/>
  <c r="X277" i="1"/>
  <c r="L280" i="1"/>
  <c r="AK286" i="1"/>
  <c r="M315" i="1"/>
  <c r="AK319" i="1"/>
  <c r="AJ319" i="1"/>
  <c r="AI319" i="1"/>
  <c r="AH319" i="1"/>
  <c r="AG319" i="1"/>
  <c r="X319" i="1"/>
  <c r="AH336" i="1"/>
  <c r="AG336" i="1"/>
  <c r="X336" i="1"/>
  <c r="L340" i="1"/>
  <c r="L388" i="1"/>
  <c r="M388" i="1" s="1"/>
  <c r="X442" i="1"/>
  <c r="X273" i="1"/>
  <c r="AG283" i="1"/>
  <c r="L283" i="1"/>
  <c r="M283" i="1" s="1"/>
  <c r="AI298" i="1"/>
  <c r="AG298" i="1"/>
  <c r="X298" i="1"/>
  <c r="AJ329" i="1"/>
  <c r="AK398" i="1"/>
  <c r="AJ398" i="1"/>
  <c r="AI398" i="1"/>
  <c r="AH398" i="1"/>
  <c r="AG398" i="1"/>
  <c r="X398" i="1"/>
  <c r="AK414" i="1"/>
  <c r="AJ414" i="1"/>
  <c r="AI414" i="1"/>
  <c r="AH414" i="1"/>
  <c r="AG414" i="1"/>
  <c r="X414" i="1"/>
  <c r="L414" i="1"/>
  <c r="M414" i="1" s="1"/>
  <c r="AJ438" i="1"/>
  <c r="AH438" i="1"/>
  <c r="AK438" i="1"/>
  <c r="AI438" i="1"/>
  <c r="AG438" i="1"/>
  <c r="X438" i="1"/>
  <c r="L438" i="1"/>
  <c r="M438" i="1" s="1"/>
  <c r="X454" i="1"/>
  <c r="AK279" i="1"/>
  <c r="AG279" i="1"/>
  <c r="X279" i="1"/>
  <c r="AK300" i="1"/>
  <c r="AJ300" i="1"/>
  <c r="AI300" i="1"/>
  <c r="AH300" i="1"/>
  <c r="X312" i="1"/>
  <c r="AJ313" i="1"/>
  <c r="AK329" i="1"/>
  <c r="AJ395" i="1"/>
  <c r="AH401" i="1"/>
  <c r="X421" i="1"/>
  <c r="AJ450" i="1"/>
  <c r="AK482" i="1"/>
  <c r="AJ286" i="1"/>
  <c r="AI295" i="1"/>
  <c r="AG308" i="1"/>
  <c r="AG316" i="1"/>
  <c r="AI326" i="1"/>
  <c r="AG332" i="1"/>
  <c r="AK347" i="1"/>
  <c r="AH364" i="1"/>
  <c r="AI369" i="1"/>
  <c r="AG385" i="1"/>
  <c r="X385" i="1"/>
  <c r="M385" i="1"/>
  <c r="AH389" i="1"/>
  <c r="AI395" i="1"/>
  <c r="X397" i="1"/>
  <c r="AK591" i="1"/>
  <c r="AJ591" i="1"/>
  <c r="AI591" i="1"/>
  <c r="AH591" i="1"/>
  <c r="AG591" i="1"/>
  <c r="X591" i="1"/>
  <c r="L591" i="1"/>
  <c r="M591" i="1"/>
  <c r="AH308" i="1"/>
  <c r="AH316" i="1"/>
  <c r="AJ326" i="1"/>
  <c r="AH332" i="1"/>
  <c r="AG353" i="1"/>
  <c r="X353" i="1"/>
  <c r="AJ369" i="1"/>
  <c r="AI389" i="1"/>
  <c r="AK405" i="1"/>
  <c r="AI405" i="1"/>
  <c r="AH405" i="1"/>
  <c r="AG405" i="1"/>
  <c r="X405" i="1"/>
  <c r="AK407" i="1"/>
  <c r="AJ407" i="1"/>
  <c r="AG410" i="1"/>
  <c r="X410" i="1"/>
  <c r="AK410" i="1"/>
  <c r="AJ410" i="1"/>
  <c r="AI410" i="1"/>
  <c r="AH410" i="1"/>
  <c r="L480" i="1"/>
  <c r="AI308" i="1"/>
  <c r="AI316" i="1"/>
  <c r="L318" i="1"/>
  <c r="M318" i="1" s="1" a="1"/>
  <c r="M318" i="1" s="1"/>
  <c r="AI332" i="1"/>
  <c r="AK369" i="1"/>
  <c r="AK376" i="1"/>
  <c r="AI376" i="1"/>
  <c r="AH376" i="1"/>
  <c r="AG376" i="1"/>
  <c r="X376" i="1"/>
  <c r="L385" i="1"/>
  <c r="AJ420" i="1"/>
  <c r="AK420" i="1"/>
  <c r="AI420" i="1"/>
  <c r="AH420" i="1"/>
  <c r="AG420" i="1"/>
  <c r="X420" i="1"/>
  <c r="AK496" i="1"/>
  <c r="AJ496" i="1"/>
  <c r="AI496" i="1"/>
  <c r="AH496" i="1"/>
  <c r="AG496" i="1"/>
  <c r="X496" i="1"/>
  <c r="L496" i="1"/>
  <c r="M496" i="1" s="1"/>
  <c r="AK569" i="1"/>
  <c r="AJ569" i="1"/>
  <c r="AI569" i="1"/>
  <c r="AH569" i="1"/>
  <c r="AG569" i="1"/>
  <c r="X569" i="1"/>
  <c r="L569" i="1"/>
  <c r="M569" i="1" s="1"/>
  <c r="AJ308" i="1"/>
  <c r="AJ316" i="1"/>
  <c r="AJ332" i="1"/>
  <c r="AG433" i="1"/>
  <c r="X433" i="1"/>
  <c r="AK435" i="1"/>
  <c r="AG435" i="1"/>
  <c r="AJ435" i="1"/>
  <c r="AI435" i="1"/>
  <c r="AH435" i="1"/>
  <c r="X435" i="1"/>
  <c r="AH445" i="1"/>
  <c r="AH489" i="1"/>
  <c r="AG489" i="1"/>
  <c r="X489" i="1"/>
  <c r="L489" i="1"/>
  <c r="M489" i="1" s="1"/>
  <c r="AK489" i="1"/>
  <c r="AJ489" i="1"/>
  <c r="AI489" i="1"/>
  <c r="AJ511" i="1"/>
  <c r="AI511" i="1"/>
  <c r="X511" i="1"/>
  <c r="AK511" i="1"/>
  <c r="AH511" i="1"/>
  <c r="AG511" i="1"/>
  <c r="L511" i="1"/>
  <c r="M511" i="1" s="1"/>
  <c r="AH539" i="1"/>
  <c r="AI362" i="1"/>
  <c r="AG362" i="1"/>
  <c r="X362" i="1"/>
  <c r="AK387" i="1"/>
  <c r="AI387" i="1"/>
  <c r="AH387" i="1"/>
  <c r="AG387" i="1"/>
  <c r="X387" i="1"/>
  <c r="AK393" i="1"/>
  <c r="AI393" i="1"/>
  <c r="AH393" i="1"/>
  <c r="AG393" i="1"/>
  <c r="X393" i="1"/>
  <c r="M410" i="1"/>
  <c r="AG429" i="1"/>
  <c r="X429" i="1"/>
  <c r="AK429" i="1"/>
  <c r="AJ429" i="1"/>
  <c r="AI429" i="1"/>
  <c r="AH429" i="1"/>
  <c r="AK441" i="1"/>
  <c r="AH441" i="1"/>
  <c r="AG441" i="1"/>
  <c r="X441" i="1"/>
  <c r="M441" i="1"/>
  <c r="L441" i="1"/>
  <c r="AK492" i="1"/>
  <c r="AJ492" i="1"/>
  <c r="AI492" i="1"/>
  <c r="AH492" i="1"/>
  <c r="X492" i="1"/>
  <c r="X501" i="1"/>
  <c r="AK501" i="1"/>
  <c r="AJ501" i="1"/>
  <c r="AI501" i="1"/>
  <c r="AH501" i="1"/>
  <c r="AG501" i="1"/>
  <c r="M501" i="1"/>
  <c r="AK689" i="1"/>
  <c r="AJ689" i="1"/>
  <c r="AI689" i="1"/>
  <c r="AH689" i="1"/>
  <c r="AG689" i="1"/>
  <c r="X689" i="1"/>
  <c r="L689" i="1"/>
  <c r="M689" i="1" s="1"/>
  <c r="AH346" i="1"/>
  <c r="AH347" i="1"/>
  <c r="AI381" i="1"/>
  <c r="AG381" i="1"/>
  <c r="X381" i="1"/>
  <c r="AI385" i="1"/>
  <c r="M390" i="1"/>
  <c r="X407" i="1"/>
  <c r="L435" i="1"/>
  <c r="M435" i="1" s="1" a="1"/>
  <c r="M435" i="1" s="1"/>
  <c r="AG476" i="1"/>
  <c r="AH485" i="1"/>
  <c r="AK355" i="1"/>
  <c r="AI355" i="1"/>
  <c r="AJ389" i="1"/>
  <c r="AK395" i="1"/>
  <c r="AK401" i="1"/>
  <c r="AJ401" i="1"/>
  <c r="AI401" i="1"/>
  <c r="L429" i="1"/>
  <c r="M429" i="1" s="1"/>
  <c r="AH433" i="1"/>
  <c r="M509" i="1"/>
  <c r="L509" i="1"/>
  <c r="AJ509" i="1"/>
  <c r="AK509" i="1"/>
  <c r="AI509" i="1"/>
  <c r="AH509" i="1"/>
  <c r="X509" i="1"/>
  <c r="AK364" i="1"/>
  <c r="AI364" i="1"/>
  <c r="AG364" i="1"/>
  <c r="AH404" i="1"/>
  <c r="X404" i="1"/>
  <c r="L404" i="1"/>
  <c r="M404" i="1" s="1"/>
  <c r="AI433" i="1"/>
  <c r="M492" i="1"/>
  <c r="AK585" i="1"/>
  <c r="AJ448" i="1"/>
  <c r="AG448" i="1"/>
  <c r="X448" i="1"/>
  <c r="M451" i="1"/>
  <c r="M470" i="1"/>
  <c r="AI512" i="1"/>
  <c r="AH512" i="1"/>
  <c r="AK512" i="1"/>
  <c r="AJ512" i="1"/>
  <c r="AG512" i="1"/>
  <c r="AI528" i="1"/>
  <c r="AI566" i="1"/>
  <c r="AH566" i="1"/>
  <c r="AK566" i="1"/>
  <c r="AJ566" i="1"/>
  <c r="AG566" i="1"/>
  <c r="AK589" i="1"/>
  <c r="AJ419" i="1"/>
  <c r="AH419" i="1"/>
  <c r="AJ444" i="1"/>
  <c r="AH444" i="1"/>
  <c r="AK458" i="1"/>
  <c r="AK477" i="1"/>
  <c r="AJ477" i="1"/>
  <c r="AI477" i="1"/>
  <c r="AH477" i="1"/>
  <c r="X477" i="1"/>
  <c r="AK546" i="1"/>
  <c r="AJ546" i="1"/>
  <c r="AI546" i="1"/>
  <c r="AH546" i="1"/>
  <c r="AG546" i="1"/>
  <c r="X546" i="1"/>
  <c r="X566" i="1"/>
  <c r="AJ434" i="1"/>
  <c r="AI437" i="1"/>
  <c r="AG447" i="1"/>
  <c r="AI453" i="1"/>
  <c r="AH453" i="1"/>
  <c r="AG453" i="1"/>
  <c r="AK464" i="1"/>
  <c r="AJ464" i="1"/>
  <c r="AI464" i="1"/>
  <c r="AK472" i="1"/>
  <c r="AI472" i="1"/>
  <c r="AH472" i="1"/>
  <c r="AG472" i="1"/>
  <c r="AK481" i="1"/>
  <c r="AJ481" i="1"/>
  <c r="AI481" i="1"/>
  <c r="AH481" i="1"/>
  <c r="AG481" i="1"/>
  <c r="AJ518" i="1"/>
  <c r="AI518" i="1"/>
  <c r="AG518" i="1"/>
  <c r="X518" i="1"/>
  <c r="AK518" i="1"/>
  <c r="AH518" i="1"/>
  <c r="M518" i="1"/>
  <c r="L526" i="1"/>
  <c r="M526" i="1" s="1"/>
  <c r="AK615" i="1"/>
  <c r="AK431" i="1"/>
  <c r="AG431" i="1"/>
  <c r="L477" i="1"/>
  <c r="X512" i="1"/>
  <c r="AI524" i="1"/>
  <c r="L546" i="1"/>
  <c r="M546" i="1" s="1"/>
  <c r="AJ675" i="1"/>
  <c r="AI675" i="1"/>
  <c r="AH675" i="1"/>
  <c r="AG675" i="1"/>
  <c r="X675" i="1"/>
  <c r="AK675" i="1"/>
  <c r="L397" i="1"/>
  <c r="AH418" i="1"/>
  <c r="M419" i="1"/>
  <c r="M437" i="1"/>
  <c r="AH440" i="1"/>
  <c r="AH448" i="1"/>
  <c r="L453" i="1"/>
  <c r="M453" i="1" s="1"/>
  <c r="L464" i="1"/>
  <c r="L472" i="1"/>
  <c r="M472" i="1" s="1"/>
  <c r="L474" i="1"/>
  <c r="AI474" i="1"/>
  <c r="M477" i="1"/>
  <c r="L481" i="1"/>
  <c r="AK537" i="1"/>
  <c r="AJ537" i="1"/>
  <c r="AI537" i="1"/>
  <c r="AH537" i="1"/>
  <c r="AG537" i="1"/>
  <c r="X537" i="1"/>
  <c r="L537" i="1"/>
  <c r="M537" i="1" s="1"/>
  <c r="AJ562" i="1"/>
  <c r="AI562" i="1"/>
  <c r="AK562" i="1"/>
  <c r="AH562" i="1"/>
  <c r="AG562" i="1"/>
  <c r="X562" i="1"/>
  <c r="L403" i="1"/>
  <c r="X409" i="1"/>
  <c r="L431" i="1"/>
  <c r="M431" i="1" s="1"/>
  <c r="AI448" i="1"/>
  <c r="L455" i="1"/>
  <c r="M455" i="1" s="1"/>
  <c r="AI455" i="1"/>
  <c r="AJ502" i="1"/>
  <c r="AK529" i="1"/>
  <c r="AK577" i="1"/>
  <c r="AJ577" i="1"/>
  <c r="AI577" i="1"/>
  <c r="AH577" i="1"/>
  <c r="AG577" i="1"/>
  <c r="X577" i="1"/>
  <c r="X656" i="1"/>
  <c r="M656" i="1"/>
  <c r="AK656" i="1"/>
  <c r="AJ656" i="1"/>
  <c r="AI656" i="1"/>
  <c r="AH656" i="1"/>
  <c r="M403" i="1"/>
  <c r="AI415" i="1"/>
  <c r="AG415" i="1"/>
  <c r="L418" i="1"/>
  <c r="M418" i="1" s="1" a="1"/>
  <c r="M418" i="1" s="1"/>
  <c r="X437" i="1"/>
  <c r="M440" i="1"/>
  <c r="X444" i="1"/>
  <c r="AK448" i="1"/>
  <c r="X453" i="1"/>
  <c r="AG466" i="1"/>
  <c r="M466" i="1"/>
  <c r="L466" i="1"/>
  <c r="AK468" i="1"/>
  <c r="X472" i="1"/>
  <c r="M474" i="1"/>
  <c r="AG477" i="1"/>
  <c r="AI504" i="1"/>
  <c r="AH504" i="1"/>
  <c r="AK504" i="1"/>
  <c r="AJ504" i="1"/>
  <c r="AG504" i="1"/>
  <c r="X554" i="1"/>
  <c r="AK554" i="1"/>
  <c r="AJ554" i="1"/>
  <c r="AI554" i="1"/>
  <c r="AH554" i="1"/>
  <c r="AG554" i="1"/>
  <c r="AJ600" i="1"/>
  <c r="AI600" i="1"/>
  <c r="AH600" i="1"/>
  <c r="AG600" i="1"/>
  <c r="X600" i="1"/>
  <c r="AK600" i="1"/>
  <c r="L600" i="1"/>
  <c r="M600" i="1" s="1"/>
  <c r="AH638" i="1"/>
  <c r="AG638" i="1"/>
  <c r="X638" i="1"/>
  <c r="M638" i="1"/>
  <c r="AK638" i="1"/>
  <c r="AJ638" i="1"/>
  <c r="AI638" i="1"/>
  <c r="L638" i="1"/>
  <c r="AJ681" i="1"/>
  <c r="AI681" i="1"/>
  <c r="AH681" i="1"/>
  <c r="AG681" i="1"/>
  <c r="X681" i="1"/>
  <c r="AK681" i="1"/>
  <c r="M681" i="1"/>
  <c r="L681" i="1"/>
  <c r="AJ439" i="1"/>
  <c r="AJ443" i="1"/>
  <c r="AG443" i="1"/>
  <c r="X443" i="1"/>
  <c r="X446" i="1"/>
  <c r="AI463" i="1"/>
  <c r="AH463" i="1"/>
  <c r="AG463" i="1"/>
  <c r="M500" i="1"/>
  <c r="L500" i="1"/>
  <c r="AJ500" i="1"/>
  <c r="AK500" i="1"/>
  <c r="AI500" i="1"/>
  <c r="AH500" i="1"/>
  <c r="AG500" i="1"/>
  <c r="X500" i="1"/>
  <c r="X628" i="1"/>
  <c r="M628" i="1"/>
  <c r="AK628" i="1"/>
  <c r="AJ628" i="1"/>
  <c r="AI628" i="1"/>
  <c r="AH628" i="1"/>
  <c r="AG628" i="1"/>
  <c r="L628" i="1"/>
  <c r="AK654" i="1"/>
  <c r="AH409" i="1"/>
  <c r="AI411" i="1"/>
  <c r="AG411" i="1"/>
  <c r="L415" i="1"/>
  <c r="M415" i="1" s="1"/>
  <c r="L422" i="1"/>
  <c r="AJ430" i="1"/>
  <c r="AH430" i="1"/>
  <c r="X431" i="1"/>
  <c r="AH434" i="1"/>
  <c r="AG437" i="1"/>
  <c r="AG444" i="1"/>
  <c r="AJ453" i="1"/>
  <c r="AJ472" i="1"/>
  <c r="X474" i="1"/>
  <c r="AI478" i="1"/>
  <c r="AJ490" i="1"/>
  <c r="AI490" i="1"/>
  <c r="AH490" i="1"/>
  <c r="AG490" i="1"/>
  <c r="X490" i="1"/>
  <c r="AK497" i="1"/>
  <c r="AJ497" i="1"/>
  <c r="AI497" i="1"/>
  <c r="AH497" i="1"/>
  <c r="X497" i="1"/>
  <c r="L504" i="1"/>
  <c r="M504" i="1" s="1"/>
  <c r="AK519" i="1"/>
  <c r="AJ519" i="1"/>
  <c r="AH519" i="1"/>
  <c r="AG519" i="1"/>
  <c r="AI519" i="1"/>
  <c r="M527" i="1"/>
  <c r="L554" i="1"/>
  <c r="M554" i="1" s="1"/>
  <c r="AJ586" i="1"/>
  <c r="X458" i="1"/>
  <c r="AG468" i="1"/>
  <c r="AG482" i="1"/>
  <c r="AI487" i="1"/>
  <c r="AI493" i="1"/>
  <c r="AI498" i="1"/>
  <c r="AH550" i="1"/>
  <c r="AG550" i="1"/>
  <c r="AK550" i="1"/>
  <c r="AJ550" i="1"/>
  <c r="AI550" i="1"/>
  <c r="AK563" i="1"/>
  <c r="AH563" i="1"/>
  <c r="AI639" i="1"/>
  <c r="AH639" i="1"/>
  <c r="AG639" i="1"/>
  <c r="AK639" i="1"/>
  <c r="X639" i="1"/>
  <c r="AK676" i="1"/>
  <c r="AJ676" i="1"/>
  <c r="AI676" i="1"/>
  <c r="AH676" i="1"/>
  <c r="AG676" i="1"/>
  <c r="X676" i="1"/>
  <c r="L676" i="1"/>
  <c r="M676" i="1" s="1" a="1"/>
  <c r="M676" i="1" s="1"/>
  <c r="AK683" i="1"/>
  <c r="AJ683" i="1"/>
  <c r="AI683" i="1"/>
  <c r="AH683" i="1"/>
  <c r="AG683" i="1"/>
  <c r="X683" i="1"/>
  <c r="L683" i="1"/>
  <c r="M683" i="1" s="1"/>
  <c r="AH458" i="1"/>
  <c r="AJ468" i="1"/>
  <c r="AJ503" i="1"/>
  <c r="AI503" i="1"/>
  <c r="X503" i="1"/>
  <c r="L514" i="1"/>
  <c r="M514" i="1" s="1" a="1"/>
  <c r="M514" i="1" s="1"/>
  <c r="AH514" i="1"/>
  <c r="AJ541" i="1"/>
  <c r="AH541" i="1"/>
  <c r="AG541" i="1"/>
  <c r="X541" i="1"/>
  <c r="M541" i="1"/>
  <c r="L541" i="1"/>
  <c r="AH547" i="1"/>
  <c r="X563" i="1"/>
  <c r="AK590" i="1"/>
  <c r="AJ590" i="1"/>
  <c r="X590" i="1"/>
  <c r="M590" i="1"/>
  <c r="X598" i="1"/>
  <c r="AK598" i="1"/>
  <c r="AJ598" i="1"/>
  <c r="AI598" i="1"/>
  <c r="AH598" i="1"/>
  <c r="AG598" i="1"/>
  <c r="L598" i="1"/>
  <c r="M598" i="1" s="1" a="1"/>
  <c r="M598" i="1" s="1"/>
  <c r="AJ657" i="1"/>
  <c r="AI458" i="1"/>
  <c r="X476" i="1"/>
  <c r="AG499" i="1"/>
  <c r="M528" i="1"/>
  <c r="AG533" i="1"/>
  <c r="AK538" i="1"/>
  <c r="AJ538" i="1"/>
  <c r="AI538" i="1"/>
  <c r="AH538" i="1"/>
  <c r="X538" i="1"/>
  <c r="X550" i="1"/>
  <c r="AI603" i="1"/>
  <c r="AH603" i="1"/>
  <c r="AG603" i="1"/>
  <c r="X603" i="1"/>
  <c r="L603" i="1"/>
  <c r="M603" i="1" s="1" a="1"/>
  <c r="M603" i="1" s="1"/>
  <c r="AK626" i="1"/>
  <c r="AJ626" i="1"/>
  <c r="AH626" i="1"/>
  <c r="X626" i="1"/>
  <c r="AK659" i="1"/>
  <c r="AJ659" i="1"/>
  <c r="AI659" i="1"/>
  <c r="AH659" i="1"/>
  <c r="AG659" i="1"/>
  <c r="X659" i="1"/>
  <c r="M690" i="1"/>
  <c r="L518" i="1"/>
  <c r="AJ520" i="1"/>
  <c r="AI520" i="1"/>
  <c r="AH520" i="1"/>
  <c r="X523" i="1"/>
  <c r="AH531" i="1"/>
  <c r="L590" i="1"/>
  <c r="AK601" i="1"/>
  <c r="AJ601" i="1"/>
  <c r="AI601" i="1"/>
  <c r="AH601" i="1"/>
  <c r="AG601" i="1"/>
  <c r="X679" i="1"/>
  <c r="X485" i="1"/>
  <c r="AH517" i="1"/>
  <c r="AH536" i="1"/>
  <c r="AG536" i="1"/>
  <c r="X536" i="1"/>
  <c r="M536" i="1"/>
  <c r="L536" i="1"/>
  <c r="AI563" i="1"/>
  <c r="AK631" i="1"/>
  <c r="AI631" i="1"/>
  <c r="AJ631" i="1"/>
  <c r="X631" i="1"/>
  <c r="AK672" i="1"/>
  <c r="AJ672" i="1"/>
  <c r="AI672" i="1"/>
  <c r="AH672" i="1"/>
  <c r="AG672" i="1"/>
  <c r="X672" i="1"/>
  <c r="L672" i="1"/>
  <c r="M672" i="1" s="1"/>
  <c r="X686" i="1"/>
  <c r="AG502" i="1"/>
  <c r="M502" i="1"/>
  <c r="AK525" i="1"/>
  <c r="AJ525" i="1"/>
  <c r="AI525" i="1"/>
  <c r="AH525" i="1"/>
  <c r="AG525" i="1"/>
  <c r="AG527" i="1"/>
  <c r="AH551" i="1"/>
  <c r="AG570" i="1"/>
  <c r="AK570" i="1"/>
  <c r="AJ570" i="1"/>
  <c r="AI570" i="1"/>
  <c r="X570" i="1"/>
  <c r="AG572" i="1"/>
  <c r="X572" i="1"/>
  <c r="L572" i="1"/>
  <c r="M572" i="1" s="1"/>
  <c r="AJ595" i="1"/>
  <c r="AK595" i="1"/>
  <c r="AI595" i="1"/>
  <c r="AH595" i="1"/>
  <c r="X595" i="1"/>
  <c r="AK643" i="1"/>
  <c r="AJ643" i="1"/>
  <c r="AI643" i="1"/>
  <c r="AG643" i="1"/>
  <c r="X643" i="1"/>
  <c r="AJ696" i="1"/>
  <c r="AI696" i="1"/>
  <c r="AH696" i="1"/>
  <c r="AG696" i="1"/>
  <c r="X696" i="1"/>
  <c r="AG585" i="1"/>
  <c r="X585" i="1"/>
  <c r="X618" i="1"/>
  <c r="AK618" i="1"/>
  <c r="AJ618" i="1"/>
  <c r="AG618" i="1"/>
  <c r="AJ622" i="1"/>
  <c r="AH622" i="1"/>
  <c r="AG622" i="1"/>
  <c r="X622" i="1"/>
  <c r="L622" i="1"/>
  <c r="M622" i="1" s="1"/>
  <c r="AG629" i="1"/>
  <c r="X629" i="1"/>
  <c r="AK629" i="1"/>
  <c r="AH629" i="1"/>
  <c r="X651" i="1"/>
  <c r="AK653" i="1"/>
  <c r="AJ653" i="1"/>
  <c r="AI653" i="1"/>
  <c r="AG653" i="1"/>
  <c r="X653" i="1"/>
  <c r="AH653" i="1"/>
  <c r="L653" i="1"/>
  <c r="AK682" i="1"/>
  <c r="AJ682" i="1"/>
  <c r="AI682" i="1"/>
  <c r="AH682" i="1"/>
  <c r="AG682" i="1"/>
  <c r="X682" i="1"/>
  <c r="AJ707" i="1"/>
  <c r="AI707" i="1"/>
  <c r="AH707" i="1"/>
  <c r="AG707" i="1"/>
  <c r="X707" i="1"/>
  <c r="M707" i="1"/>
  <c r="AK707" i="1"/>
  <c r="L707" i="1"/>
  <c r="L502" i="1"/>
  <c r="L525" i="1"/>
  <c r="M525" i="1" s="1"/>
  <c r="X549" i="1"/>
  <c r="AI549" i="1"/>
  <c r="AH549" i="1"/>
  <c r="AG549" i="1"/>
  <c r="L549" i="1"/>
  <c r="M549" i="1" s="1"/>
  <c r="L570" i="1"/>
  <c r="M570" i="1" s="1"/>
  <c r="AH590" i="1"/>
  <c r="AJ616" i="1"/>
  <c r="AG616" i="1"/>
  <c r="X616" i="1"/>
  <c r="L643" i="1"/>
  <c r="M643" i="1" s="1"/>
  <c r="L696" i="1"/>
  <c r="M696" i="1" s="1"/>
  <c r="AH503" i="1"/>
  <c r="AG514" i="1"/>
  <c r="X530" i="1"/>
  <c r="X535" i="1"/>
  <c r="AI536" i="1"/>
  <c r="AG538" i="1"/>
  <c r="AK542" i="1"/>
  <c r="AJ542" i="1"/>
  <c r="AI542" i="1"/>
  <c r="AH542" i="1"/>
  <c r="AG542" i="1"/>
  <c r="AK557" i="1"/>
  <c r="AJ557" i="1"/>
  <c r="AI557" i="1"/>
  <c r="AH557" i="1"/>
  <c r="AG557" i="1"/>
  <c r="X557" i="1"/>
  <c r="L557" i="1"/>
  <c r="M557" i="1" s="1"/>
  <c r="L568" i="1"/>
  <c r="M568" i="1" s="1"/>
  <c r="AI568" i="1"/>
  <c r="AH568" i="1"/>
  <c r="AG568" i="1"/>
  <c r="X568" i="1"/>
  <c r="AK582" i="1"/>
  <c r="AJ582" i="1"/>
  <c r="AI582" i="1"/>
  <c r="AH582" i="1"/>
  <c r="X582" i="1"/>
  <c r="X587" i="1"/>
  <c r="AK587" i="1"/>
  <c r="AJ587" i="1"/>
  <c r="AI587" i="1"/>
  <c r="AH587" i="1"/>
  <c r="AG587" i="1"/>
  <c r="AI590" i="1"/>
  <c r="AI593" i="1"/>
  <c r="X601" i="1"/>
  <c r="AG606" i="1"/>
  <c r="AI608" i="1"/>
  <c r="AH608" i="1"/>
  <c r="AK608" i="1"/>
  <c r="AJ608" i="1"/>
  <c r="X608" i="1"/>
  <c r="L618" i="1"/>
  <c r="M618" i="1" s="1"/>
  <c r="L629" i="1"/>
  <c r="M629" i="1" s="1" a="1"/>
  <c r="M629" i="1" s="1"/>
  <c r="AI660" i="1"/>
  <c r="X662" i="1"/>
  <c r="L662" i="1"/>
  <c r="M662" i="1" s="1"/>
  <c r="AK662" i="1"/>
  <c r="AJ662" i="1"/>
  <c r="AG662" i="1"/>
  <c r="AH670" i="1"/>
  <c r="AG670" i="1"/>
  <c r="X670" i="1"/>
  <c r="L670" i="1"/>
  <c r="M670" i="1" s="1"/>
  <c r="AK670" i="1"/>
  <c r="AJ670" i="1"/>
  <c r="AI670" i="1"/>
  <c r="AK576" i="1"/>
  <c r="AI581" i="1"/>
  <c r="AH581" i="1"/>
  <c r="L601" i="1"/>
  <c r="M601" i="1" s="1"/>
  <c r="X607" i="1"/>
  <c r="AJ664" i="1"/>
  <c r="AI664" i="1"/>
  <c r="AH664" i="1"/>
  <c r="AG664" i="1"/>
  <c r="X664" i="1"/>
  <c r="L687" i="1"/>
  <c r="M687" i="1" s="1" a="1"/>
  <c r="M687" i="1" s="1"/>
  <c r="AK702" i="1"/>
  <c r="AJ702" i="1"/>
  <c r="AI702" i="1"/>
  <c r="AH702" i="1"/>
  <c r="AG702" i="1"/>
  <c r="X702" i="1"/>
  <c r="AJ515" i="1"/>
  <c r="AJ522" i="1"/>
  <c r="AI534" i="1"/>
  <c r="AI544" i="1"/>
  <c r="X565" i="1"/>
  <c r="AJ579" i="1"/>
  <c r="AI583" i="1"/>
  <c r="AJ605" i="1"/>
  <c r="AJ610" i="1"/>
  <c r="AH610" i="1"/>
  <c r="AJ620" i="1"/>
  <c r="AI620" i="1"/>
  <c r="AH620" i="1"/>
  <c r="AG620" i="1"/>
  <c r="X620" i="1"/>
  <c r="X633" i="1"/>
  <c r="AJ635" i="1"/>
  <c r="AH635" i="1"/>
  <c r="AK647" i="1"/>
  <c r="AJ647" i="1"/>
  <c r="AI647" i="1"/>
  <c r="AH647" i="1"/>
  <c r="X674" i="1"/>
  <c r="M691" i="1"/>
  <c r="X700" i="1"/>
  <c r="AK556" i="1"/>
  <c r="AJ556" i="1"/>
  <c r="X561" i="1"/>
  <c r="X580" i="1"/>
  <c r="AH625" i="1"/>
  <c r="AG625" i="1"/>
  <c r="X625" i="1"/>
  <c r="AI658" i="1"/>
  <c r="AH658" i="1"/>
  <c r="AG658" i="1"/>
  <c r="X669" i="1"/>
  <c r="AK697" i="1"/>
  <c r="AJ697" i="1"/>
  <c r="AI697" i="1"/>
  <c r="AH697" i="1"/>
  <c r="AG697" i="1"/>
  <c r="X581" i="1"/>
  <c r="X586" i="1"/>
  <c r="AJ644" i="1"/>
  <c r="AH644" i="1"/>
  <c r="L523" i="1"/>
  <c r="AG540" i="1"/>
  <c r="L552" i="1"/>
  <c r="M552" i="1" s="1" a="1"/>
  <c r="M552" i="1" s="1"/>
  <c r="L556" i="1"/>
  <c r="M556" i="1" s="1"/>
  <c r="X576" i="1"/>
  <c r="L580" i="1"/>
  <c r="M580" i="1" s="1"/>
  <c r="L585" i="1"/>
  <c r="M585" i="1" s="1"/>
  <c r="L606" i="1"/>
  <c r="M606" i="1" s="1" a="1"/>
  <c r="M606" i="1" s="1"/>
  <c r="AG607" i="1"/>
  <c r="X613" i="1"/>
  <c r="L613" i="1"/>
  <c r="M613" i="1" s="1"/>
  <c r="L616" i="1"/>
  <c r="M616" i="1" s="1"/>
  <c r="L625" i="1"/>
  <c r="M625" i="1" s="1"/>
  <c r="AK630" i="1"/>
  <c r="AJ630" i="1"/>
  <c r="AI630" i="1"/>
  <c r="AG630" i="1"/>
  <c r="X630" i="1"/>
  <c r="M632" i="1"/>
  <c r="X635" i="1"/>
  <c r="AJ642" i="1"/>
  <c r="AI642" i="1"/>
  <c r="AH642" i="1"/>
  <c r="AG642" i="1"/>
  <c r="X642" i="1"/>
  <c r="L642" i="1"/>
  <c r="M642" i="1" s="1"/>
  <c r="X647" i="1"/>
  <c r="L697" i="1"/>
  <c r="M697" i="1" s="1"/>
  <c r="M523" i="1"/>
  <c r="AG581" i="1"/>
  <c r="AG586" i="1"/>
  <c r="AI589" i="1"/>
  <c r="AH589" i="1"/>
  <c r="AH607" i="1"/>
  <c r="AK609" i="1"/>
  <c r="AI609" i="1"/>
  <c r="AG609" i="1"/>
  <c r="AH619" i="1"/>
  <c r="AG619" i="1"/>
  <c r="X619" i="1"/>
  <c r="L619" i="1"/>
  <c r="M619" i="1" s="1"/>
  <c r="AG652" i="1"/>
  <c r="X652" i="1"/>
  <c r="AH663" i="1"/>
  <c r="AG663" i="1"/>
  <c r="X663" i="1"/>
  <c r="AK664" i="1"/>
  <c r="AK703" i="1"/>
  <c r="AJ703" i="1"/>
  <c r="AI703" i="1"/>
  <c r="AH703" i="1"/>
  <c r="AK710" i="1"/>
  <c r="AJ710" i="1"/>
  <c r="AI710" i="1"/>
  <c r="AH710" i="1"/>
  <c r="AG710" i="1"/>
  <c r="AK571" i="1"/>
  <c r="AJ571" i="1"/>
  <c r="AG576" i="1"/>
  <c r="AJ581" i="1"/>
  <c r="AH586" i="1"/>
  <c r="AI607" i="1"/>
  <c r="AJ615" i="1"/>
  <c r="AH615" i="1"/>
  <c r="X637" i="1"/>
  <c r="AH646" i="1"/>
  <c r="AG646" i="1"/>
  <c r="X646" i="1"/>
  <c r="AJ654" i="1"/>
  <c r="AH654" i="1"/>
  <c r="AK660" i="1"/>
  <c r="AJ660" i="1"/>
  <c r="AH660" i="1"/>
  <c r="AK671" i="1"/>
  <c r="AJ671" i="1"/>
  <c r="AI671" i="1"/>
  <c r="AH671" i="1"/>
  <c r="AG671" i="1"/>
  <c r="X671" i="1"/>
  <c r="AJ688" i="1"/>
  <c r="AI688" i="1"/>
  <c r="AH688" i="1"/>
  <c r="AG688" i="1"/>
  <c r="X688" i="1"/>
  <c r="M688" i="1"/>
  <c r="AG706" i="1"/>
  <c r="AG517" i="1"/>
  <c r="L522" i="1"/>
  <c r="AH524" i="1"/>
  <c r="AG531" i="1"/>
  <c r="AK551" i="1"/>
  <c r="AJ551" i="1"/>
  <c r="AH555" i="1"/>
  <c r="AG555" i="1"/>
  <c r="X556" i="1"/>
  <c r="AH565" i="1"/>
  <c r="AH576" i="1"/>
  <c r="M579" i="1"/>
  <c r="AK581" i="1"/>
  <c r="AI586" i="1"/>
  <c r="AJ607" i="1"/>
  <c r="L609" i="1"/>
  <c r="L652" i="1"/>
  <c r="M652" i="1" s="1"/>
  <c r="AG657" i="1"/>
  <c r="X657" i="1"/>
  <c r="L663" i="1"/>
  <c r="M663" i="1" s="1"/>
  <c r="AK665" i="1"/>
  <c r="AJ665" i="1"/>
  <c r="AI665" i="1"/>
  <c r="AH665" i="1"/>
  <c r="X697" i="1"/>
  <c r="L703" i="1"/>
  <c r="M703" i="1" s="1"/>
  <c r="X710" i="1"/>
  <c r="X548" i="1"/>
  <c r="AI565" i="1"/>
  <c r="AI576" i="1"/>
  <c r="AG580" i="1"/>
  <c r="AG588" i="1"/>
  <c r="M589" i="1"/>
  <c r="X602" i="1"/>
  <c r="L602" i="1"/>
  <c r="L605" i="1"/>
  <c r="AK607" i="1"/>
  <c r="M609" i="1"/>
  <c r="AG610" i="1"/>
  <c r="AK621" i="1"/>
  <c r="AJ621" i="1"/>
  <c r="AI621" i="1"/>
  <c r="AG621" i="1"/>
  <c r="X621" i="1"/>
  <c r="X624" i="1"/>
  <c r="AJ625" i="1"/>
  <c r="AH630" i="1"/>
  <c r="AJ633" i="1"/>
  <c r="AK635" i="1"/>
  <c r="AK642" i="1"/>
  <c r="X644" i="1"/>
  <c r="L646" i="1"/>
  <c r="M646" i="1" s="1"/>
  <c r="AK648" i="1"/>
  <c r="AJ648" i="1"/>
  <c r="AH648" i="1"/>
  <c r="L654" i="1"/>
  <c r="M654" i="1" s="1"/>
  <c r="L671" i="1"/>
  <c r="M671" i="1" s="1"/>
  <c r="AK677" i="1"/>
  <c r="AJ677" i="1"/>
  <c r="AH680" i="1"/>
  <c r="AG680" i="1"/>
  <c r="X680" i="1"/>
  <c r="M680" i="1"/>
  <c r="L680" i="1"/>
  <c r="L688" i="1"/>
  <c r="AI701" i="1"/>
  <c r="AH701" i="1"/>
  <c r="AG701" i="1"/>
  <c r="X701" i="1"/>
  <c r="M701" i="1"/>
  <c r="L701" i="1"/>
  <c r="L669" i="1"/>
  <c r="M669" i="1" s="1"/>
  <c r="L674" i="1"/>
  <c r="M674" i="1" s="1" a="1"/>
  <c r="M674" i="1" s="1"/>
  <c r="L679" i="1"/>
  <c r="L624" i="1"/>
  <c r="M624" i="1" s="1"/>
  <c r="L637" i="1"/>
  <c r="L651" i="1"/>
  <c r="M651" i="1" s="1"/>
  <c r="M679" i="1"/>
  <c r="M637" i="1"/>
  <c r="L678" i="1"/>
  <c r="L700" i="1"/>
  <c r="M700" i="1" s="1"/>
  <c r="X7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89" authorId="0" shapeId="0" xr:uid="{A3A266E8-0960-4EAF-A8CB-BCE35532263F}">
      <text>
        <r>
          <rPr>
            <sz val="10"/>
            <color rgb="FF000000"/>
            <rFont val="Arial"/>
            <family val="2"/>
            <charset val="162"/>
          </rPr>
          <t xml:space="preserve">Semi-Annual Payment
</t>
        </r>
      </text>
    </comment>
    <comment ref="Q290" authorId="0" shapeId="0" xr:uid="{0D717240-E5E2-4234-9FD3-E0D378B44257}">
      <text>
        <r>
          <rPr>
            <sz val="10"/>
            <color rgb="FF000000"/>
            <rFont val="Arial"/>
            <family val="2"/>
            <charset val="162"/>
          </rPr>
          <t xml:space="preserve">Semi-Annual Payment
</t>
        </r>
      </text>
    </comment>
    <comment ref="I421" authorId="0" shapeId="0" xr:uid="{938BA413-C45B-461B-85A5-1F9F107E62A0}">
      <text>
        <r>
          <rPr>
            <sz val="10"/>
            <color rgb="FF000000"/>
            <rFont val="Arial"/>
            <family val="2"/>
            <charset val="162"/>
          </rPr>
          <t xml:space="preserve">Floating rate is either 1% over 3 month libor or a minimum of 4%
</t>
        </r>
      </text>
    </comment>
    <comment ref="N678" authorId="0" shapeId="0" xr:uid="{8B67E6E0-41E1-4CFB-A338-0626D14C9BDE}">
      <text>
        <r>
          <rPr>
            <sz val="10"/>
            <color rgb="FF000000"/>
            <rFont val="Arial"/>
            <family val="2"/>
            <charset val="162"/>
          </rPr>
          <t xml:space="preserve">Rated A By Fitch 
</t>
        </r>
      </text>
    </comment>
  </commentList>
</comments>
</file>

<file path=xl/sharedStrings.xml><?xml version="1.0" encoding="utf-8"?>
<sst xmlns="http://schemas.openxmlformats.org/spreadsheetml/2006/main" count="8117" uniqueCount="535">
  <si>
    <t xml:space="preserve"> </t>
  </si>
  <si>
    <t>Issuer</t>
  </si>
  <si>
    <t>Cum</t>
  </si>
  <si>
    <t>QDI</t>
  </si>
  <si>
    <t>Sector</t>
  </si>
  <si>
    <t>Fix/
Float</t>
  </si>
  <si>
    <t>Type</t>
  </si>
  <si>
    <t>Ticker</t>
  </si>
  <si>
    <t>Coupon  Percent</t>
  </si>
  <si>
    <t>Current Price</t>
  </si>
  <si>
    <t>Change</t>
  </si>
  <si>
    <t>Current Yield</t>
  </si>
  <si>
    <t xml:space="preserve">Ann Yield to Worst </t>
  </si>
  <si>
    <t>IG</t>
  </si>
  <si>
    <t>S&amp;P Rating</t>
  </si>
  <si>
    <t>Moody Rating</t>
  </si>
  <si>
    <t>Quarterly Int / Div</t>
  </si>
  <si>
    <t>1st Call</t>
  </si>
  <si>
    <t>Maturity Date</t>
  </si>
  <si>
    <t>Pay Dates</t>
  </si>
  <si>
    <t>1y ytc</t>
  </si>
  <si>
    <t>2ytc</t>
  </si>
  <si>
    <t>5ytc</t>
  </si>
  <si>
    <t>7ytc</t>
  </si>
  <si>
    <t>10ytc</t>
  </si>
  <si>
    <t>20ytc</t>
  </si>
  <si>
    <t>Abacus Life</t>
  </si>
  <si>
    <t>No</t>
  </si>
  <si>
    <t>Insurance</t>
  </si>
  <si>
    <t>Fix</t>
  </si>
  <si>
    <t>BB</t>
  </si>
  <si>
    <t>N</t>
  </si>
  <si>
    <t>NR</t>
  </si>
  <si>
    <t>15th 2,5,8,11</t>
  </si>
  <si>
    <t>Aberdeen Income Credit</t>
  </si>
  <si>
    <t>Yes</t>
  </si>
  <si>
    <t>Var</t>
  </si>
  <si>
    <t>CEF</t>
  </si>
  <si>
    <t>Trad</t>
  </si>
  <si>
    <t>Y</t>
  </si>
  <si>
    <t>A2</t>
  </si>
  <si>
    <t>NONE</t>
  </si>
  <si>
    <t>LD 3,6,9,12</t>
  </si>
  <si>
    <t>ACRES Commercial</t>
  </si>
  <si>
    <t>mREIT</t>
  </si>
  <si>
    <t>30th 1,4,7,10</t>
  </si>
  <si>
    <t>Fix-Float</t>
  </si>
  <si>
    <t>Float</t>
  </si>
  <si>
    <t>Aegon Funding Company</t>
  </si>
  <si>
    <t>NA</t>
  </si>
  <si>
    <t>BBB</t>
  </si>
  <si>
    <t>Baa1</t>
  </si>
  <si>
    <t>15th 3,6,9,12</t>
  </si>
  <si>
    <t>Affiliated Managers Group</t>
  </si>
  <si>
    <t>Asset Mgr</t>
  </si>
  <si>
    <t>BBB-</t>
  </si>
  <si>
    <t>30th 3,6,9,12</t>
  </si>
  <si>
    <t>AG Mortgage Investment</t>
  </si>
  <si>
    <t>17th 3,6,9,12</t>
  </si>
  <si>
    <t>AGNC Investment</t>
  </si>
  <si>
    <t>15th 1,4,7,10</t>
  </si>
  <si>
    <t>FRR</t>
  </si>
  <si>
    <t>Agree Realty</t>
  </si>
  <si>
    <t>eREIT</t>
  </si>
  <si>
    <t>Baa3</t>
  </si>
  <si>
    <t>1st Month</t>
  </si>
  <si>
    <t>Air Lease Corporation</t>
  </si>
  <si>
    <t>Other</t>
  </si>
  <si>
    <t>Redeem</t>
  </si>
  <si>
    <t>BB+</t>
  </si>
  <si>
    <t>Air T Inc</t>
  </si>
  <si>
    <t>Trust P</t>
  </si>
  <si>
    <t>Algonquin Power</t>
  </si>
  <si>
    <t>Ute</t>
  </si>
  <si>
    <t>1st 1,4,7,10</t>
  </si>
  <si>
    <t>Allstate</t>
  </si>
  <si>
    <t>Baa2</t>
  </si>
  <si>
    <t>Allstate Debentures</t>
  </si>
  <si>
    <t>Alta Equipment</t>
  </si>
  <si>
    <t>LD 1,4,7,10</t>
  </si>
  <si>
    <t>American Financial Group</t>
  </si>
  <si>
    <t>1st 3,6,9,12</t>
  </si>
  <si>
    <t>American Homes 4 Rent</t>
  </si>
  <si>
    <t>Ba1</t>
  </si>
  <si>
    <t>American International Group</t>
  </si>
  <si>
    <t>American National Group</t>
  </si>
  <si>
    <t>None</t>
  </si>
  <si>
    <t>AMMO Inc</t>
  </si>
  <si>
    <t>AmTrust Financial Services</t>
  </si>
  <si>
    <t>Angel Oak Mortgage REIT</t>
  </si>
  <si>
    <t>Annaly Capital Management</t>
  </si>
  <si>
    <t>Apollo Global Management</t>
  </si>
  <si>
    <t>A3</t>
  </si>
  <si>
    <t>Applied UV</t>
  </si>
  <si>
    <t>BK</t>
  </si>
  <si>
    <t>1th Month</t>
  </si>
  <si>
    <t>Arbor Realty Trust</t>
  </si>
  <si>
    <t>Arch Capital</t>
  </si>
  <si>
    <t>Argo Group</t>
  </si>
  <si>
    <t xml:space="preserve">Arlington Asset Investment  </t>
  </si>
  <si>
    <t>Delist</t>
  </si>
  <si>
    <t>1st 2,5,8,11</t>
  </si>
  <si>
    <t>Armada Hoffler</t>
  </si>
  <si>
    <t>Armour Residential REIT</t>
  </si>
  <si>
    <t>27th Month</t>
  </si>
  <si>
    <t>Ashford Hospitality Trust</t>
  </si>
  <si>
    <t>Hotel REIT</t>
  </si>
  <si>
    <t>Aspen Insurance Holdings</t>
  </si>
  <si>
    <t xml:space="preserve">Trad </t>
  </si>
  <si>
    <t>Associated Banc-Corp</t>
  </si>
  <si>
    <t>Bank</t>
  </si>
  <si>
    <t>Assurant Inc</t>
  </si>
  <si>
    <t>AT&amp;T</t>
  </si>
  <si>
    <t>Telecom</t>
  </si>
  <si>
    <t>Athene Holding LTD</t>
  </si>
  <si>
    <t>Atlantic Union Bancshares</t>
  </si>
  <si>
    <t>Atlanticus Holdings</t>
  </si>
  <si>
    <t>Finance</t>
  </si>
  <si>
    <t>Atlas Corp</t>
  </si>
  <si>
    <t>Shipping</t>
  </si>
  <si>
    <t>ATCOL</t>
  </si>
  <si>
    <t>Axis Capital Holdings</t>
  </si>
  <si>
    <t>B Riley Financial</t>
  </si>
  <si>
    <t>B. Riley Financial</t>
  </si>
  <si>
    <t>Susp</t>
  </si>
  <si>
    <t>Babcock and Wilcox</t>
  </si>
  <si>
    <t>N0</t>
  </si>
  <si>
    <t>Banc of California (Pacwest)</t>
  </si>
  <si>
    <t>Bancroft Fund Ltd</t>
  </si>
  <si>
    <t>A1</t>
  </si>
  <si>
    <t>26th 3,6,9,12</t>
  </si>
  <si>
    <t>Bank of America</t>
  </si>
  <si>
    <t>16th 2,5,8,11</t>
  </si>
  <si>
    <t>25th 3,6,9,12</t>
  </si>
  <si>
    <t>3rd 2,5,8,11</t>
  </si>
  <si>
    <t>2nd 2,5,8,11</t>
  </si>
  <si>
    <t>17th 2,5,8,11</t>
  </si>
  <si>
    <t>24th 1,4,7,10</t>
  </si>
  <si>
    <t>FLR</t>
  </si>
  <si>
    <t>28th 2,5,8,11</t>
  </si>
  <si>
    <t>15th  2,5,8,11</t>
  </si>
  <si>
    <t>21st 2,5,8,11</t>
  </si>
  <si>
    <t>28th  2,5,8,11</t>
  </si>
  <si>
    <t>Bank of America Capital Trust</t>
  </si>
  <si>
    <t>Bank of Hawaii</t>
  </si>
  <si>
    <t>Bank OZK</t>
  </si>
  <si>
    <t>Ba2</t>
  </si>
  <si>
    <t>BFC Capital Trust</t>
  </si>
  <si>
    <t>BIP Bermuda Holdings</t>
  </si>
  <si>
    <t>Braemar Hotels and Resorts</t>
  </si>
  <si>
    <t>Braemer Hotels and Resorts (Conv)</t>
  </si>
  <si>
    <t>Conv</t>
  </si>
  <si>
    <t>Bridgewater Bancshares</t>
  </si>
  <si>
    <t>Brighthouse Financial</t>
  </si>
  <si>
    <t>Brookfield BRP Holdings</t>
  </si>
  <si>
    <t>MLP</t>
  </si>
  <si>
    <t>Brookfield Finance</t>
  </si>
  <si>
    <t>24th 2,5,8,11</t>
  </si>
  <si>
    <t>Brookfield Infrastructure Finance</t>
  </si>
  <si>
    <t>Infrastructure</t>
  </si>
  <si>
    <t>Brookfield Infrastructure Partners</t>
  </si>
  <si>
    <t>NY</t>
  </si>
  <si>
    <t>Brookfield Property Partners LP</t>
  </si>
  <si>
    <t>B</t>
  </si>
  <si>
    <t>Brookfield Renewable Partners LP</t>
  </si>
  <si>
    <t>Brunswick Corp</t>
  </si>
  <si>
    <t>Cadence Bank</t>
  </si>
  <si>
    <t>20th 2,5,8,11</t>
  </si>
  <si>
    <t>CADIZ Inc</t>
  </si>
  <si>
    <t>Capital One Financial</t>
  </si>
  <si>
    <t>Capital Southwest</t>
  </si>
  <si>
    <t>BDC</t>
  </si>
  <si>
    <t>CareCloud</t>
  </si>
  <si>
    <t>Converted</t>
  </si>
  <si>
    <t>15th Month</t>
  </si>
  <si>
    <t>Carlyle Credit Income Fund</t>
  </si>
  <si>
    <t>CEF-CLO</t>
  </si>
  <si>
    <t>Term</t>
  </si>
  <si>
    <t>LD Month</t>
  </si>
  <si>
    <t>Carlyle Finance</t>
  </si>
  <si>
    <t>Cedar Realty Trust</t>
  </si>
  <si>
    <t>Retail REIT</t>
  </si>
  <si>
    <t>20th 2, 5, 8, 11</t>
  </si>
  <si>
    <t xml:space="preserve">Centerspace </t>
  </si>
  <si>
    <t>Charah Solutions</t>
  </si>
  <si>
    <t>Chatham Lodging Trust</t>
  </si>
  <si>
    <t>Cherry Hill Mortgage</t>
  </si>
  <si>
    <t>Chicken Soup for the Soul</t>
  </si>
  <si>
    <t>Chimera Investment</t>
  </si>
  <si>
    <t>CHS</t>
  </si>
  <si>
    <t>Ag</t>
  </si>
  <si>
    <t>Now Fixed</t>
  </si>
  <si>
    <t>Citigroup</t>
  </si>
  <si>
    <t>Citigroup Capital Trust</t>
  </si>
  <si>
    <t>Citizens Financial</t>
  </si>
  <si>
    <t>6th 1,4,7,10</t>
  </si>
  <si>
    <t>City Office REIT</t>
  </si>
  <si>
    <t>no</t>
  </si>
  <si>
    <t>25th 1,4,7,10</t>
  </si>
  <si>
    <t>CMS Energy</t>
  </si>
  <si>
    <t>CNB Financial</t>
  </si>
  <si>
    <t>CNO Financial Group</t>
  </si>
  <si>
    <t>Compass Diversified</t>
  </si>
  <si>
    <t>Conifer Holdings</t>
  </si>
  <si>
    <t>Exchange</t>
  </si>
  <si>
    <t>ConnectOne Bancorp</t>
  </si>
  <si>
    <t>Corebridge Financial</t>
  </si>
  <si>
    <t>CORTS BellSouth</t>
  </si>
  <si>
    <t>3rd</t>
  </si>
  <si>
    <t>1st 6 and 12</t>
  </si>
  <si>
    <t>Costamare Inc</t>
  </si>
  <si>
    <t>Cowen Group</t>
  </si>
  <si>
    <t>CTO Growth</t>
  </si>
  <si>
    <t>Cullen Frost Banker</t>
  </si>
  <si>
    <t>Customers Bancorp</t>
  </si>
  <si>
    <t>DiamondRock Hospitality</t>
  </si>
  <si>
    <t>Diana Shipping</t>
  </si>
  <si>
    <t>Digital Realty Trust</t>
  </si>
  <si>
    <t>eREIt</t>
  </si>
  <si>
    <t>DigitalBridge</t>
  </si>
  <si>
    <t>C-Corp</t>
  </si>
  <si>
    <t>Dillards Capital Trust</t>
  </si>
  <si>
    <t>Dime Community Bancshares</t>
  </si>
  <si>
    <t>BB-</t>
  </si>
  <si>
    <t>Diversified Healthcare Trust</t>
  </si>
  <si>
    <t>B3</t>
  </si>
  <si>
    <t xml:space="preserve">DTE Energy     </t>
  </si>
  <si>
    <t>Duke Energy</t>
  </si>
  <si>
    <t>15th 3,6,9,1</t>
  </si>
  <si>
    <t>16th 3,6,9,12</t>
  </si>
  <si>
    <t>Dynagas LNG Partners</t>
  </si>
  <si>
    <t>12th 2,5,8,11</t>
  </si>
  <si>
    <t>22nd 2,5,8,11</t>
  </si>
  <si>
    <t>Dynex Capital</t>
  </si>
  <si>
    <t>Eagle Point Credit Co</t>
  </si>
  <si>
    <t>Eagle Point Income</t>
  </si>
  <si>
    <t>Eagle Point Institutional income</t>
  </si>
  <si>
    <t>Ellington Financial</t>
  </si>
  <si>
    <t>Ellington Financial (Arlington)</t>
  </si>
  <si>
    <t>Ellsworth Growth and Income</t>
  </si>
  <si>
    <t>Enbridge Inc Reset Preferred</t>
  </si>
  <si>
    <t>Energy</t>
  </si>
  <si>
    <t>Energy Transfer</t>
  </si>
  <si>
    <t xml:space="preserve">Energy Transfer </t>
  </si>
  <si>
    <t>Enstar Group</t>
  </si>
  <si>
    <t xml:space="preserve">Entergy Arkansas  </t>
  </si>
  <si>
    <t>A</t>
  </si>
  <si>
    <t>Entergy Louisiana</t>
  </si>
  <si>
    <t>Entergy Mississippi</t>
  </si>
  <si>
    <t xml:space="preserve">Entergy New Orleans   </t>
  </si>
  <si>
    <t>A-</t>
  </si>
  <si>
    <t xml:space="preserve">Entergy Texas </t>
  </si>
  <si>
    <t>Enterprise Financial</t>
  </si>
  <si>
    <t>EPR Properties</t>
  </si>
  <si>
    <t>B+</t>
  </si>
  <si>
    <t>Convert</t>
  </si>
  <si>
    <t>Equitable Holdings</t>
  </si>
  <si>
    <t>Equity Commonwealth</t>
  </si>
  <si>
    <t>Covert</t>
  </si>
  <si>
    <t>F &amp; G Annuities and Life</t>
  </si>
  <si>
    <t>FAT Brands</t>
  </si>
  <si>
    <t>Federal Agricultural Mortgage</t>
  </si>
  <si>
    <t>17th 1,4,7,10</t>
  </si>
  <si>
    <t>Federal Realty Investment Trust</t>
  </si>
  <si>
    <t>FG Financial</t>
  </si>
  <si>
    <t>Fifth Third Bancorp</t>
  </si>
  <si>
    <t>25th 2,5,8,11</t>
  </si>
  <si>
    <t>First Citizens BancShares</t>
  </si>
  <si>
    <t>First Eagle Alternative (Cresent)</t>
  </si>
  <si>
    <t>First Guaranty Bancshares</t>
  </si>
  <si>
    <t>First Horizon National</t>
  </si>
  <si>
    <t>10th 1,4,7,10</t>
  </si>
  <si>
    <t xml:space="preserve">Fix </t>
  </si>
  <si>
    <t>First Horizon National - Semi</t>
  </si>
  <si>
    <t>1st 5 and 11</t>
  </si>
  <si>
    <t>1st 2 and 8</t>
  </si>
  <si>
    <t>First Internet Bancorp</t>
  </si>
  <si>
    <t>First Merchant</t>
  </si>
  <si>
    <t>Flagstar (NYCB)</t>
  </si>
  <si>
    <t>FNB Corporation</t>
  </si>
  <si>
    <t>Ford Motor</t>
  </si>
  <si>
    <t>Fortress Biotech</t>
  </si>
  <si>
    <t>Fossil Group</t>
  </si>
  <si>
    <t>LD 2,5,8,11</t>
  </si>
  <si>
    <t>Franklin Benefit Street</t>
  </si>
  <si>
    <t xml:space="preserve">FTAI Aviation </t>
  </si>
  <si>
    <t>Fulton Financial</t>
  </si>
  <si>
    <t>Gabelli Div and Income Fund</t>
  </si>
  <si>
    <t>Aa3</t>
  </si>
  <si>
    <t>Gabelli Equity Trust</t>
  </si>
  <si>
    <t>Gabelli Global Multimedia</t>
  </si>
  <si>
    <t>Gabelli Multimedia Trust</t>
  </si>
  <si>
    <t xml:space="preserve">Gabelli Utility Trust </t>
  </si>
  <si>
    <t>GAMCO Global Gold Nat Res</t>
  </si>
  <si>
    <t>GAMCO Natural Resources</t>
  </si>
  <si>
    <t>GasLog LTD</t>
  </si>
  <si>
    <t>GasLog Partners</t>
  </si>
  <si>
    <t>General American Investors</t>
  </si>
  <si>
    <t>24th 3,6,9,12</t>
  </si>
  <si>
    <t>Georgia Power</t>
  </si>
  <si>
    <t>Gladstone Capital</t>
  </si>
  <si>
    <t>Gladstone Commercial</t>
  </si>
  <si>
    <t>Gladstone investment Corp</t>
  </si>
  <si>
    <t>Gladstone Land</t>
  </si>
  <si>
    <t>5th Month</t>
  </si>
  <si>
    <t>Global Medical REIT</t>
  </si>
  <si>
    <t>Global Net Lease</t>
  </si>
  <si>
    <t>Global Net Lease (Necessity)</t>
  </si>
  <si>
    <t>Global Partners</t>
  </si>
  <si>
    <t>Global Ship Lease</t>
  </si>
  <si>
    <t>Globe Life</t>
  </si>
  <si>
    <t>BBB+</t>
  </si>
  <si>
    <t>Golar LNG Partners</t>
  </si>
  <si>
    <t>Goldman Sachs Group</t>
  </si>
  <si>
    <t>10th 2,5,8,11</t>
  </si>
  <si>
    <t>Granite Point Mortgage</t>
  </si>
  <si>
    <t xml:space="preserve">Great Ajax </t>
  </si>
  <si>
    <t>CONV</t>
  </si>
  <si>
    <t>Great Elm Capital</t>
  </si>
  <si>
    <t>Great Elm Group</t>
  </si>
  <si>
    <t>Green Brick Partners</t>
  </si>
  <si>
    <t>Greenidge Generation</t>
  </si>
  <si>
    <t>Hancock Whitney</t>
  </si>
  <si>
    <t>Harrow Health</t>
  </si>
  <si>
    <t>Hartfold Financial</t>
  </si>
  <si>
    <t>Hennessy Advisors</t>
  </si>
  <si>
    <t>Hercules Capital</t>
  </si>
  <si>
    <t>Hersha Hospitality Trust</t>
  </si>
  <si>
    <t>HT-E</t>
  </si>
  <si>
    <t>Highland Income Fund</t>
  </si>
  <si>
    <t>Hoegh LNG Partners</t>
  </si>
  <si>
    <t>Horizon Tech Finance</t>
  </si>
  <si>
    <t>Hovnanian Enterprise</t>
  </si>
  <si>
    <t>CCC</t>
  </si>
  <si>
    <t>Ca</t>
  </si>
  <si>
    <t>Hudson Pacific</t>
  </si>
  <si>
    <t>Huntington Bancshares</t>
  </si>
  <si>
    <t>Hyperscale Data</t>
  </si>
  <si>
    <t>Anytime</t>
  </si>
  <si>
    <t>Imperial Petroleum</t>
  </si>
  <si>
    <t>Innovative Industrial</t>
  </si>
  <si>
    <t>INPOINT Commercial</t>
  </si>
  <si>
    <t>Invesco Mortgage Capital</t>
  </si>
  <si>
    <t>27th 3,6,9,12</t>
  </si>
  <si>
    <t>Jackson Financial</t>
  </si>
  <si>
    <t>JPMorgan Chase</t>
  </si>
  <si>
    <t>Kemper Corporation</t>
  </si>
  <si>
    <t>KeyCorp</t>
  </si>
  <si>
    <t xml:space="preserve">KeyCorp </t>
  </si>
  <si>
    <t>Kimco Realty</t>
  </si>
  <si>
    <t>KKR Finance</t>
  </si>
  <si>
    <t>KKR &amp; Co</t>
  </si>
  <si>
    <t>KKR Real Estate Finance</t>
  </si>
  <si>
    <t>Level One Bancorp</t>
  </si>
  <si>
    <t>Liberty Broadband</t>
  </si>
  <si>
    <t>LifeMD Inc</t>
  </si>
  <si>
    <t>Lincoln Financial Group</t>
  </si>
  <si>
    <t>Lument Finance Trust</t>
  </si>
  <si>
    <t>LuxUrban Hotels</t>
  </si>
  <si>
    <t xml:space="preserve">M&amp;T Bank  </t>
  </si>
  <si>
    <t>M&amp;T Bank (People's Financial)</t>
  </si>
  <si>
    <t>Maiden Holdings LTD</t>
  </si>
  <si>
    <t>4th 3,6,9,12</t>
  </si>
  <si>
    <t>MainStreet Bancshares</t>
  </si>
  <si>
    <t>Medalist Diversified REIT</t>
  </si>
  <si>
    <t>Medallion Bank</t>
  </si>
  <si>
    <t>Merchants Bancorp</t>
  </si>
  <si>
    <t>Ba3</t>
  </si>
  <si>
    <t>MetLife Inc</t>
  </si>
  <si>
    <t>MFA Financial</t>
  </si>
  <si>
    <t>Midcap Financial</t>
  </si>
  <si>
    <t>Midland States Bancorp</t>
  </si>
  <si>
    <t>Morgan Stanley</t>
  </si>
  <si>
    <t>National Healthcare Prop</t>
  </si>
  <si>
    <t>National Rural Utilities</t>
  </si>
  <si>
    <t>National Storage Affiliates</t>
  </si>
  <si>
    <t xml:space="preserve">Navient Corp    </t>
  </si>
  <si>
    <t>New Mountain Finance</t>
  </si>
  <si>
    <t>New York Mortgage Trust</t>
  </si>
  <si>
    <t>NewtekOne</t>
  </si>
  <si>
    <t>Nexpoint Real Estate Finance</t>
  </si>
  <si>
    <t>Nextera Energy</t>
  </si>
  <si>
    <t>NiSource</t>
  </si>
  <si>
    <t>Northern Trust</t>
  </si>
  <si>
    <t xml:space="preserve">Yes
</t>
  </si>
  <si>
    <t>NuStar Energy</t>
  </si>
  <si>
    <t>B-</t>
  </si>
  <si>
    <t>B1</t>
  </si>
  <si>
    <t>NuStar Logistics</t>
  </si>
  <si>
    <t>Oaktree Capital</t>
  </si>
  <si>
    <t>OceanFirst Financial</t>
  </si>
  <si>
    <t>Office Properties Income Trust</t>
  </si>
  <si>
    <t>OFS Capital</t>
  </si>
  <si>
    <t>OFS Credit</t>
  </si>
  <si>
    <t>Old National Bank</t>
  </si>
  <si>
    <t>Osaic Financial (Ladenburg)</t>
  </si>
  <si>
    <t>28th of Month</t>
  </si>
  <si>
    <t>Oxford Lane Cap</t>
  </si>
  <si>
    <t>Oxford Square Capital</t>
  </si>
  <si>
    <t>Partner RE</t>
  </si>
  <si>
    <t>Pearl Diver</t>
  </si>
  <si>
    <t>Pebblebrook Hotel (was LaSalle)</t>
  </si>
  <si>
    <t>Pebblebrook Hotel (Was LaSalle)</t>
  </si>
  <si>
    <t>Pebblebrook Hotel Trust</t>
  </si>
  <si>
    <t>PennyMac Mortgage</t>
  </si>
  <si>
    <t>Now Fix</t>
  </si>
  <si>
    <t>PhenixFin</t>
  </si>
  <si>
    <t>Pinnacle Financial Partners</t>
  </si>
  <si>
    <t>Pitney Bowes</t>
  </si>
  <si>
    <t>7th 3,6,9,12</t>
  </si>
  <si>
    <t>Popular</t>
  </si>
  <si>
    <t>B2</t>
  </si>
  <si>
    <t>Presidio Property Trust</t>
  </si>
  <si>
    <t xml:space="preserve">Priority Income Fund   </t>
  </si>
  <si>
    <t xml:space="preserve">Priority Income Fund Term </t>
  </si>
  <si>
    <t>Called</t>
  </si>
  <si>
    <t xml:space="preserve">Term </t>
  </si>
  <si>
    <t>Prospect Capital</t>
  </si>
  <si>
    <t xml:space="preserve">Prudential Financial   </t>
  </si>
  <si>
    <t>PS Business Parks</t>
  </si>
  <si>
    <t>WD</t>
  </si>
  <si>
    <t>Public Storage</t>
  </si>
  <si>
    <t>Pyxis Tankers Convert</t>
  </si>
  <si>
    <t>20th Month</t>
  </si>
  <si>
    <t>QVC Inc</t>
  </si>
  <si>
    <t>Retail</t>
  </si>
  <si>
    <t xml:space="preserve">Qwest Corp  </t>
  </si>
  <si>
    <t>Ramaco Resources</t>
  </si>
  <si>
    <t>Raymond James</t>
  </si>
  <si>
    <t>Ready Capital</t>
  </si>
  <si>
    <t>1th 3,6,9,12</t>
  </si>
  <si>
    <t>Ready Capital (Anworth)</t>
  </si>
  <si>
    <t>Realty Income (Spirit)</t>
  </si>
  <si>
    <t>Redwood Trust</t>
  </si>
  <si>
    <t>Regency Centers (Urstadt)</t>
  </si>
  <si>
    <t>Regions Financial</t>
  </si>
  <si>
    <t>15h 2,5,8,11</t>
  </si>
  <si>
    <t>Fix-Reset</t>
  </si>
  <si>
    <t>Reinsurance Group of America</t>
  </si>
  <si>
    <t>RenaissanceRE Holdings</t>
  </si>
  <si>
    <t>Rexford Industrial Realty</t>
  </si>
  <si>
    <t>Rithm Capital (New Rez)</t>
  </si>
  <si>
    <t>Rithm Property Trust</t>
  </si>
  <si>
    <t>FTF</t>
  </si>
  <si>
    <t>RiverNorth Capital and Income</t>
  </si>
  <si>
    <t>Redeemed</t>
  </si>
  <si>
    <t>RiverNorth Opportunities Fund</t>
  </si>
  <si>
    <t>RiverNorth/DoubleLine Strategic</t>
  </si>
  <si>
    <t>RLJ Lodging Trust</t>
  </si>
  <si>
    <t>Runway Growth Finance</t>
  </si>
  <si>
    <t>Sachem Capital</t>
  </si>
  <si>
    <t>Safe Bulkers</t>
  </si>
  <si>
    <t>Saratoga Investment</t>
  </si>
  <si>
    <t>Saul Centers</t>
  </si>
  <si>
    <t>SCE Trust</t>
  </si>
  <si>
    <t>SCE Trust VII</t>
  </si>
  <si>
    <t>SCE Trust VIII</t>
  </si>
  <si>
    <t>Schwab Charles</t>
  </si>
  <si>
    <t>SCHW-J</t>
  </si>
  <si>
    <t>Scorpio Tankers</t>
  </si>
  <si>
    <t>Selective Insurance Group</t>
  </si>
  <si>
    <t>Sempra Energy</t>
  </si>
  <si>
    <t>Seritage Growth Properies</t>
  </si>
  <si>
    <t>12/14.2022</t>
  </si>
  <si>
    <t>SiriusPoint</t>
  </si>
  <si>
    <t>Site Centers Corp</t>
  </si>
  <si>
    <t>SL Green</t>
  </si>
  <si>
    <t>Sound Point Meridian</t>
  </si>
  <si>
    <t>Southern California Gas</t>
  </si>
  <si>
    <t>Never</t>
  </si>
  <si>
    <t>Southern Company</t>
  </si>
  <si>
    <t>Spire Inc</t>
  </si>
  <si>
    <t>State Street Corp</t>
  </si>
  <si>
    <t xml:space="preserve">BBB </t>
  </si>
  <si>
    <t>Steel Partners Holdings</t>
  </si>
  <si>
    <t>Stifel Financial Corp</t>
  </si>
  <si>
    <t>StonePeak (AKA Teekay LNG)</t>
  </si>
  <si>
    <t>Summit Hotel Properties</t>
  </si>
  <si>
    <t>Ld 2,5,8,11</t>
  </si>
  <si>
    <t>Sunstone Hotel Investors</t>
  </si>
  <si>
    <t>SURO Capital</t>
  </si>
  <si>
    <t>30th  3,6,9,12</t>
  </si>
  <si>
    <t>SWK Holdings</t>
  </si>
  <si>
    <t>Synchronoss Technology</t>
  </si>
  <si>
    <t>Synchrony Financial</t>
  </si>
  <si>
    <t>Synovus Financial</t>
  </si>
  <si>
    <t>21st 3,6,9,12</t>
  </si>
  <si>
    <t>Telephone and Data Systems</t>
  </si>
  <si>
    <t>Tellurian</t>
  </si>
  <si>
    <t>Tennessee Valley Authority</t>
  </si>
  <si>
    <t>Spec</t>
  </si>
  <si>
    <t>AA+</t>
  </si>
  <si>
    <t>Aaa</t>
  </si>
  <si>
    <t>Terra Income  Fund 6</t>
  </si>
  <si>
    <t>Terra Property Trust</t>
  </si>
  <si>
    <t>REIT</t>
  </si>
  <si>
    <t>Texas Capital Bancshares</t>
  </si>
  <si>
    <t>Textainer Group Holdings</t>
  </si>
  <si>
    <t>The Bank of New York Mellon</t>
  </si>
  <si>
    <t>20th 3,6,9,12</t>
  </si>
  <si>
    <t>TPG Operating</t>
  </si>
  <si>
    <t>TPG RE Finance</t>
  </si>
  <si>
    <t>Trinity Capital</t>
  </si>
  <si>
    <t>Triton International</t>
  </si>
  <si>
    <t>Triump Financial</t>
  </si>
  <si>
    <t>Truist Financial</t>
  </si>
  <si>
    <t>1st of 3,6,9,12</t>
  </si>
  <si>
    <t>Truist Financial(Suntrust Bank)</t>
  </si>
  <si>
    <t>Tsakos Energy Navigation</t>
  </si>
  <si>
    <t>Two Harbors Investment</t>
  </si>
  <si>
    <t>27th 1,4,7,10</t>
  </si>
  <si>
    <t>UMB (Heartland Financial)</t>
  </si>
  <si>
    <t>UMH Properties</t>
  </si>
  <si>
    <t>United Community Banks</t>
  </si>
  <si>
    <t xml:space="preserve">United States Cellular  </t>
  </si>
  <si>
    <t>US Bancorp</t>
  </si>
  <si>
    <t>Valley National Bank</t>
  </si>
  <si>
    <t>Via Revewables</t>
  </si>
  <si>
    <t>Virtus Convertible and In II</t>
  </si>
  <si>
    <t xml:space="preserve">Virtus Convertible and Income </t>
  </si>
  <si>
    <t>Vornado Realty Trust</t>
  </si>
  <si>
    <t>Voya Financial</t>
  </si>
  <si>
    <t>Washington Federal</t>
  </si>
  <si>
    <t>Webster Financial</t>
  </si>
  <si>
    <t>Wells Fargo</t>
  </si>
  <si>
    <t>WesBanco Inc.</t>
  </si>
  <si>
    <t>Wesco International</t>
  </si>
  <si>
    <t>Western Alliance Bancorp</t>
  </si>
  <si>
    <t>Whitehorse Finance</t>
  </si>
  <si>
    <t>Wintrust Financial</t>
  </si>
  <si>
    <t>WR Berkley</t>
  </si>
  <si>
    <t xml:space="preserve">XAI Octagon Floating Rate </t>
  </si>
  <si>
    <t>Xoma Corporation</t>
  </si>
  <si>
    <t>Zions Bancorporation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</si>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</sst>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\$#,##0.00"/>
    <numFmt numFmtId="165" formatCode="&quot;$&quot;#,##0.00"/>
    <numFmt numFmtId="166" formatCode="0.000%"/>
    <numFmt numFmtId="167" formatCode="m/d/yyyy"/>
    <numFmt numFmtId="168" formatCode="0.0000"/>
    <numFmt numFmtId="169" formatCode="mm/dd/yyyy"/>
  </numFmts>
  <fonts count="21">
    <font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8"/>
      <color rgb="FF000000"/>
      <name val="Arial"/>
      <family val="2"/>
      <charset val="162"/>
    </font>
    <font>
      <b/>
      <sz val="11"/>
      <color rgb="FF434343"/>
      <name val="Arial"/>
      <family val="2"/>
      <charset val="162"/>
    </font>
    <font>
      <b/>
      <sz val="7"/>
      <color rgb="FF434343"/>
      <name val="Arial"/>
      <family val="2"/>
      <charset val="162"/>
    </font>
    <font>
      <b/>
      <sz val="8"/>
      <name val="Arial"/>
      <family val="2"/>
      <charset val="162"/>
    </font>
    <font>
      <sz val="10"/>
      <name val="Arial"/>
      <family val="2"/>
      <charset val="162"/>
    </font>
    <font>
      <b/>
      <sz val="8"/>
      <color rgb="FF000000"/>
      <name val="Arial"/>
      <family val="2"/>
      <charset val="162"/>
    </font>
    <font>
      <sz val="9"/>
      <color rgb="FF000000"/>
      <name val="Arial"/>
      <family val="2"/>
      <charset val="162"/>
    </font>
    <font>
      <b/>
      <u/>
      <sz val="8"/>
      <color rgb="FF0000FF"/>
      <name val="Arial"/>
      <family val="2"/>
      <charset val="162"/>
    </font>
    <font>
      <b/>
      <sz val="8"/>
      <color rgb="FF0ECD0E"/>
      <name val="Arial"/>
      <family val="2"/>
      <charset val="162"/>
    </font>
    <font>
      <b/>
      <u/>
      <sz val="8"/>
      <color rgb="FF1155CC"/>
      <name val="Arial"/>
      <family val="2"/>
      <charset val="162"/>
    </font>
    <font>
      <b/>
      <sz val="9"/>
      <name val="Arial"/>
      <family val="2"/>
      <charset val="162"/>
    </font>
    <font>
      <b/>
      <sz val="8"/>
      <color rgb="FFFF0000"/>
      <name val="Arial"/>
      <family val="2"/>
      <charset val="162"/>
    </font>
    <font>
      <b/>
      <sz val="8"/>
      <color rgb="FFD9D9D9"/>
      <name val="Arial"/>
      <family val="2"/>
      <charset val="162"/>
    </font>
    <font>
      <sz val="8"/>
      <color rgb="FF0000FF"/>
      <name val="Arial"/>
      <family val="2"/>
      <charset val="162"/>
    </font>
    <font>
      <u/>
      <sz val="8"/>
      <color rgb="FF0000FF"/>
      <name val="Arial"/>
      <family val="2"/>
      <charset val="162"/>
    </font>
    <font>
      <b/>
      <sz val="8"/>
      <color rgb="FF000000"/>
      <name val="&quot;Google Sans Mono&quot;"/>
    </font>
    <font>
      <b/>
      <sz val="7"/>
      <name val="Arial"/>
      <family val="2"/>
      <charset val="162"/>
    </font>
    <font>
      <b/>
      <sz val="8"/>
      <color rgb="FF0000FF"/>
      <name val="Arial"/>
      <family val="2"/>
      <charset val="162"/>
    </font>
    <font>
      <sz val="9"/>
      <name val="Arial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rgb="FFFFE7A1"/>
        <bgColor rgb="FFFFE7A1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</fills>
  <borders count="12">
    <border>
      <left/>
      <right/>
      <top/>
      <bottom/>
      <diagonal/>
    </border>
    <border>
      <left/>
      <right/>
      <top style="thin">
        <color rgb="FFEFEFEF"/>
      </top>
      <bottom/>
      <diagonal/>
    </border>
    <border>
      <left/>
      <right style="thin">
        <color rgb="FFEFEFEF"/>
      </right>
      <top style="thin">
        <color rgb="FFEFEFE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dotted">
        <color rgb="FFD9D9D9"/>
      </top>
      <bottom style="dotted">
        <color rgb="FFD9D9D9"/>
      </bottom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/>
      <top/>
      <bottom style="dotted">
        <color rgb="FFD9D9D9"/>
      </bottom>
      <diagonal/>
    </border>
    <border>
      <left/>
      <right/>
      <top/>
      <bottom style="dotted">
        <color rgb="FFD9D9D9"/>
      </bottom>
      <diagonal/>
    </border>
    <border>
      <left/>
      <right style="thin">
        <color rgb="FFEFEFEF"/>
      </right>
      <top/>
      <bottom style="dotted">
        <color rgb="FFD9D9D9"/>
      </bottom>
      <diagonal/>
    </border>
    <border>
      <left style="thin">
        <color rgb="FFEFEFEF"/>
      </left>
      <right/>
      <top style="dotted">
        <color rgb="FFD9D9D9"/>
      </top>
      <bottom style="dotted">
        <color rgb="FFD9D9D9"/>
      </bottom>
      <diagonal/>
    </border>
    <border>
      <left/>
      <right style="thin">
        <color rgb="FFEFEFEF"/>
      </right>
      <top style="dotted">
        <color rgb="FFD9D9D9"/>
      </top>
      <bottom style="dotted">
        <color rgb="FFD9D9D9"/>
      </bottom>
      <diagonal/>
    </border>
    <border>
      <left/>
      <right/>
      <top style="dotted">
        <color rgb="FFD9D9D9"/>
      </top>
      <bottom/>
      <diagonal/>
    </border>
  </borders>
  <cellStyleXfs count="1">
    <xf numFmtId="0" fontId="0" fillId="0" borderId="0"/>
  </cellStyleXfs>
  <cellXfs count="239">
    <xf numFmtId="0" fontId="0" fillId="0" borderId="0" xfId="0"/>
    <xf numFmtId="4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4" borderId="3" xfId="0" applyFont="1" applyFill="1" applyBorder="1" applyAlignment="1">
      <alignment vertical="center"/>
    </xf>
    <xf numFmtId="2" fontId="6" fillId="0" borderId="3" xfId="0" applyNumberFormat="1" applyFont="1" applyBorder="1" applyAlignment="1">
      <alignment horizontal="right"/>
    </xf>
    <xf numFmtId="164" fontId="7" fillId="4" borderId="3" xfId="0" applyNumberFormat="1" applyFont="1" applyFill="1" applyBorder="1" applyAlignment="1">
      <alignment horizontal="right"/>
    </xf>
    <xf numFmtId="2" fontId="6" fillId="0" borderId="3" xfId="0" applyNumberFormat="1" applyFont="1" applyBorder="1"/>
    <xf numFmtId="2" fontId="6" fillId="5" borderId="3" xfId="0" applyNumberFormat="1" applyFont="1" applyFill="1" applyBorder="1" applyAlignment="1">
      <alignment horizontal="right"/>
    </xf>
    <xf numFmtId="2" fontId="6" fillId="4" borderId="3" xfId="0" applyNumberFormat="1" applyFont="1" applyFill="1" applyBorder="1" applyAlignment="1">
      <alignment horizontal="right"/>
    </xf>
    <xf numFmtId="2" fontId="6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/>
    <xf numFmtId="0" fontId="7" fillId="0" borderId="0" xfId="0" applyFont="1"/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4" borderId="0" xfId="0" applyFont="1" applyFill="1" applyAlignment="1">
      <alignment horizontal="left"/>
    </xf>
    <xf numFmtId="166" fontId="5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7" fillId="4" borderId="4" xfId="0" applyNumberFormat="1" applyFont="1" applyFill="1" applyBorder="1" applyAlignment="1">
      <alignment horizontal="center" vertical="center"/>
    </xf>
    <xf numFmtId="10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68" fontId="0" fillId="0" borderId="0" xfId="0" applyNumberFormat="1"/>
    <xf numFmtId="0" fontId="8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166" fontId="5" fillId="4" borderId="7" xfId="0" applyNumberFormat="1" applyFont="1" applyFill="1" applyBorder="1" applyAlignment="1">
      <alignment horizontal="center" vertical="center"/>
    </xf>
    <xf numFmtId="164" fontId="7" fillId="6" borderId="7" xfId="0" applyNumberFormat="1" applyFont="1" applyFill="1" applyBorder="1" applyAlignment="1">
      <alignment horizontal="center" vertical="center"/>
    </xf>
    <xf numFmtId="10" fontId="5" fillId="4" borderId="7" xfId="0" applyNumberFormat="1" applyFont="1" applyFill="1" applyBorder="1" applyAlignment="1">
      <alignment horizontal="center" vertical="center"/>
    </xf>
    <xf numFmtId="165" fontId="5" fillId="4" borderId="7" xfId="0" applyNumberFormat="1" applyFont="1" applyFill="1" applyBorder="1" applyAlignment="1">
      <alignment horizontal="center" vertical="center"/>
    </xf>
    <xf numFmtId="14" fontId="5" fillId="4" borderId="7" xfId="0" applyNumberFormat="1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166" fontId="5" fillId="4" borderId="4" xfId="0" applyNumberFormat="1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14" fontId="5" fillId="7" borderId="4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164" fontId="7" fillId="4" borderId="0" xfId="0" applyNumberFormat="1" applyFont="1" applyFill="1" applyAlignment="1">
      <alignment horizontal="center"/>
    </xf>
    <xf numFmtId="164" fontId="10" fillId="9" borderId="4" xfId="0" applyNumberFormat="1" applyFont="1" applyFill="1" applyBorder="1" applyAlignment="1">
      <alignment horizontal="center"/>
    </xf>
    <xf numFmtId="10" fontId="5" fillId="7" borderId="4" xfId="0" applyNumberFormat="1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165" fontId="5" fillId="7" borderId="4" xfId="0" applyNumberFormat="1" applyFont="1" applyFill="1" applyBorder="1" applyAlignment="1">
      <alignment horizontal="center"/>
    </xf>
    <xf numFmtId="167" fontId="5" fillId="0" borderId="4" xfId="0" applyNumberFormat="1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14" fontId="5" fillId="4" borderId="4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164" fontId="5" fillId="10" borderId="4" xfId="0" applyNumberFormat="1" applyFont="1" applyFill="1" applyBorder="1" applyAlignment="1">
      <alignment horizontal="center" vertical="center"/>
    </xf>
    <xf numFmtId="4" fontId="7" fillId="0" borderId="0" xfId="0" applyNumberFormat="1" applyFont="1"/>
    <xf numFmtId="4" fontId="8" fillId="4" borderId="9" xfId="0" applyNumberFormat="1" applyFont="1" applyFill="1" applyBorder="1" applyAlignment="1">
      <alignment horizontal="left" vertical="center"/>
    </xf>
    <xf numFmtId="4" fontId="8" fillId="11" borderId="9" xfId="0" applyNumberFormat="1" applyFont="1" applyFill="1" applyBorder="1" applyAlignment="1">
      <alignment horizontal="left" vertical="center"/>
    </xf>
    <xf numFmtId="0" fontId="5" fillId="11" borderId="4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left"/>
    </xf>
    <xf numFmtId="166" fontId="5" fillId="11" borderId="4" xfId="0" applyNumberFormat="1" applyFont="1" applyFill="1" applyBorder="1" applyAlignment="1">
      <alignment horizontal="center" vertical="center"/>
    </xf>
    <xf numFmtId="164" fontId="5" fillId="11" borderId="4" xfId="0" applyNumberFormat="1" applyFont="1" applyFill="1" applyBorder="1" applyAlignment="1">
      <alignment horizontal="center" vertical="center"/>
    </xf>
    <xf numFmtId="10" fontId="5" fillId="11" borderId="4" xfId="0" applyNumberFormat="1" applyFont="1" applyFill="1" applyBorder="1" applyAlignment="1">
      <alignment horizontal="center" vertical="center"/>
    </xf>
    <xf numFmtId="165" fontId="5" fillId="11" borderId="4" xfId="0" applyNumberFormat="1" applyFont="1" applyFill="1" applyBorder="1" applyAlignment="1">
      <alignment horizontal="center" vertical="center"/>
    </xf>
    <xf numFmtId="14" fontId="5" fillId="11" borderId="4" xfId="0" applyNumberFormat="1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164" fontId="5" fillId="10" borderId="0" xfId="0" applyNumberFormat="1" applyFont="1" applyFill="1" applyAlignment="1">
      <alignment horizontal="center"/>
    </xf>
    <xf numFmtId="164" fontId="5" fillId="10" borderId="0" xfId="0" applyNumberFormat="1" applyFont="1" applyFill="1" applyAlignment="1">
      <alignment horizontal="right"/>
    </xf>
    <xf numFmtId="10" fontId="5" fillId="10" borderId="0" xfId="0" applyNumberFormat="1" applyFont="1" applyFill="1" applyAlignment="1">
      <alignment horizontal="right"/>
    </xf>
    <xf numFmtId="167" fontId="5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166" fontId="5" fillId="0" borderId="4" xfId="0" applyNumberFormat="1" applyFont="1" applyBorder="1" applyAlignment="1">
      <alignment horizontal="center" vertical="center"/>
    </xf>
    <xf numFmtId="164" fontId="5" fillId="10" borderId="4" xfId="0" applyNumberFormat="1" applyFont="1" applyFill="1" applyBorder="1" applyAlignment="1">
      <alignment horizontal="center"/>
    </xf>
    <xf numFmtId="164" fontId="7" fillId="10" borderId="4" xfId="0" applyNumberFormat="1" applyFont="1" applyFill="1" applyBorder="1" applyAlignment="1">
      <alignment horizontal="right"/>
    </xf>
    <xf numFmtId="10" fontId="5" fillId="10" borderId="4" xfId="0" applyNumberFormat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0" fontId="11" fillId="4" borderId="0" xfId="0" applyFont="1" applyFill="1" applyAlignment="1">
      <alignment horizontal="left"/>
    </xf>
    <xf numFmtId="165" fontId="5" fillId="4" borderId="4" xfId="0" applyNumberFormat="1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5" fillId="10" borderId="4" xfId="0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/>
    </xf>
    <xf numFmtId="10" fontId="5" fillId="4" borderId="4" xfId="0" applyNumberFormat="1" applyFont="1" applyFill="1" applyBorder="1" applyAlignment="1">
      <alignment horizontal="center"/>
    </xf>
    <xf numFmtId="164" fontId="7" fillId="10" borderId="4" xfId="0" applyNumberFormat="1" applyFont="1" applyFill="1" applyBorder="1" applyAlignment="1">
      <alignment horizontal="center" vertical="center"/>
    </xf>
    <xf numFmtId="164" fontId="12" fillId="10" borderId="0" xfId="0" applyNumberFormat="1" applyFont="1" applyFill="1" applyAlignment="1">
      <alignment horizontal="center" vertical="center"/>
    </xf>
    <xf numFmtId="0" fontId="8" fillId="11" borderId="9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left"/>
    </xf>
    <xf numFmtId="164" fontId="7" fillId="11" borderId="4" xfId="0" applyNumberFormat="1" applyFont="1" applyFill="1" applyBorder="1" applyAlignment="1">
      <alignment horizontal="center" vertical="center"/>
    </xf>
    <xf numFmtId="0" fontId="7" fillId="4" borderId="0" xfId="0" applyFont="1" applyFill="1"/>
    <xf numFmtId="166" fontId="5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right"/>
    </xf>
    <xf numFmtId="14" fontId="5" fillId="4" borderId="0" xfId="0" applyNumberFormat="1" applyFont="1" applyFill="1" applyAlignment="1">
      <alignment horizontal="center"/>
    </xf>
    <xf numFmtId="164" fontId="7" fillId="6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0" fontId="5" fillId="10" borderId="4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left" vertical="center"/>
    </xf>
    <xf numFmtId="165" fontId="5" fillId="0" borderId="4" xfId="0" applyNumberFormat="1" applyFont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164" fontId="5" fillId="7" borderId="4" xfId="0" applyNumberFormat="1" applyFont="1" applyFill="1" applyBorder="1" applyAlignment="1">
      <alignment horizontal="center"/>
    </xf>
    <xf numFmtId="164" fontId="14" fillId="12" borderId="4" xfId="0" applyNumberFormat="1" applyFont="1" applyFill="1" applyBorder="1" applyAlignment="1">
      <alignment horizontal="center"/>
    </xf>
    <xf numFmtId="164" fontId="7" fillId="7" borderId="0" xfId="0" applyNumberFormat="1" applyFont="1" applyFill="1" applyAlignment="1">
      <alignment horizontal="center"/>
    </xf>
    <xf numFmtId="0" fontId="5" fillId="10" borderId="4" xfId="0" applyFont="1" applyFill="1" applyBorder="1" applyAlignment="1">
      <alignment horizontal="center"/>
    </xf>
    <xf numFmtId="165" fontId="5" fillId="10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/>
    </xf>
    <xf numFmtId="0" fontId="5" fillId="13" borderId="4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15" fillId="4" borderId="0" xfId="0" applyFont="1" applyFill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7" borderId="0" xfId="0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164" fontId="7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left" vertical="top"/>
    </xf>
    <xf numFmtId="0" fontId="9" fillId="11" borderId="4" xfId="0" applyFont="1" applyFill="1" applyBorder="1" applyAlignment="1">
      <alignment horizontal="left" vertical="center"/>
    </xf>
    <xf numFmtId="0" fontId="5" fillId="14" borderId="4" xfId="0" applyFont="1" applyFill="1" applyBorder="1" applyAlignment="1">
      <alignment horizontal="center" vertical="center"/>
    </xf>
    <xf numFmtId="169" fontId="5" fillId="14" borderId="4" xfId="0" applyNumberFormat="1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14" fontId="5" fillId="14" borderId="4" xfId="0" applyNumberFormat="1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left"/>
    </xf>
    <xf numFmtId="166" fontId="5" fillId="14" borderId="4" xfId="0" applyNumberFormat="1" applyFont="1" applyFill="1" applyBorder="1" applyAlignment="1">
      <alignment horizontal="center" vertical="center"/>
    </xf>
    <xf numFmtId="164" fontId="5" fillId="14" borderId="0" xfId="0" applyNumberFormat="1" applyFont="1" applyFill="1" applyAlignment="1">
      <alignment horizontal="center" vertical="center"/>
    </xf>
    <xf numFmtId="164" fontId="7" fillId="14" borderId="4" xfId="0" applyNumberFormat="1" applyFont="1" applyFill="1" applyBorder="1" applyAlignment="1">
      <alignment horizontal="center" vertical="center"/>
    </xf>
    <xf numFmtId="10" fontId="5" fillId="14" borderId="4" xfId="0" applyNumberFormat="1" applyFont="1" applyFill="1" applyBorder="1" applyAlignment="1">
      <alignment horizontal="center" vertical="center"/>
    </xf>
    <xf numFmtId="165" fontId="5" fillId="14" borderId="4" xfId="0" applyNumberFormat="1" applyFont="1" applyFill="1" applyBorder="1" applyAlignment="1">
      <alignment horizontal="center" vertical="center"/>
    </xf>
    <xf numFmtId="167" fontId="5" fillId="14" borderId="4" xfId="0" applyNumberFormat="1" applyFont="1" applyFill="1" applyBorder="1" applyAlignment="1">
      <alignment horizontal="center" vertical="center"/>
    </xf>
    <xf numFmtId="165" fontId="7" fillId="10" borderId="4" xfId="0" applyNumberFormat="1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left" vertical="center"/>
    </xf>
    <xf numFmtId="164" fontId="5" fillId="14" borderId="4" xfId="0" applyNumberFormat="1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5" fillId="0" borderId="4" xfId="0" applyFont="1" applyBorder="1"/>
    <xf numFmtId="164" fontId="5" fillId="10" borderId="0" xfId="0" applyNumberFormat="1" applyFont="1" applyFill="1" applyAlignment="1">
      <alignment horizontal="center" vertical="center"/>
    </xf>
    <xf numFmtId="164" fontId="7" fillId="4" borderId="4" xfId="0" applyNumberFormat="1" applyFont="1" applyFill="1" applyBorder="1" applyAlignment="1">
      <alignment horizontal="center"/>
    </xf>
    <xf numFmtId="164" fontId="5" fillId="6" borderId="4" xfId="0" applyNumberFormat="1" applyFont="1" applyFill="1" applyBorder="1" applyAlignment="1">
      <alignment horizontal="center" vertical="center"/>
    </xf>
    <xf numFmtId="164" fontId="7" fillId="10" borderId="4" xfId="0" applyNumberFormat="1" applyFont="1" applyFill="1" applyBorder="1" applyAlignment="1">
      <alignment horizontal="center"/>
    </xf>
    <xf numFmtId="167" fontId="7" fillId="4" borderId="4" xfId="0" applyNumberFormat="1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4" fontId="7" fillId="0" borderId="0" xfId="0" applyNumberFormat="1" applyFont="1"/>
    <xf numFmtId="164" fontId="8" fillId="4" borderId="9" xfId="0" applyNumberFormat="1" applyFont="1" applyFill="1" applyBorder="1" applyAlignment="1">
      <alignment horizontal="left" vertical="center"/>
    </xf>
    <xf numFmtId="167" fontId="5" fillId="11" borderId="4" xfId="0" applyNumberFormat="1" applyFont="1" applyFill="1" applyBorder="1" applyAlignment="1">
      <alignment horizontal="center" vertical="center"/>
    </xf>
    <xf numFmtId="4" fontId="8" fillId="4" borderId="0" xfId="0" applyNumberFormat="1" applyFont="1" applyFill="1" applyAlignment="1">
      <alignment horizontal="left"/>
    </xf>
    <xf numFmtId="4" fontId="8" fillId="11" borderId="0" xfId="0" applyNumberFormat="1" applyFont="1" applyFill="1" applyAlignment="1">
      <alignment horizontal="left"/>
    </xf>
    <xf numFmtId="0" fontId="5" fillId="11" borderId="0" xfId="0" applyFont="1" applyFill="1" applyAlignment="1">
      <alignment horizontal="center"/>
    </xf>
    <xf numFmtId="164" fontId="7" fillId="11" borderId="0" xfId="0" applyNumberFormat="1" applyFont="1" applyFill="1" applyAlignment="1">
      <alignment horizontal="center"/>
    </xf>
    <xf numFmtId="0" fontId="11" fillId="11" borderId="0" xfId="0" applyFont="1" applyFill="1" applyAlignment="1">
      <alignment horizontal="left"/>
    </xf>
    <xf numFmtId="0" fontId="8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164" fontId="7" fillId="11" borderId="4" xfId="0" applyNumberFormat="1" applyFont="1" applyFill="1" applyBorder="1" applyAlignment="1">
      <alignment horizontal="center"/>
    </xf>
    <xf numFmtId="0" fontId="9" fillId="11" borderId="4" xfId="0" applyFont="1" applyFill="1" applyBorder="1" applyAlignment="1">
      <alignment horizontal="left" vertical="top"/>
    </xf>
    <xf numFmtId="164" fontId="5" fillId="11" borderId="0" xfId="0" applyNumberFormat="1" applyFont="1" applyFill="1" applyAlignment="1">
      <alignment horizontal="center" vertical="center"/>
    </xf>
    <xf numFmtId="164" fontId="5" fillId="10" borderId="4" xfId="0" applyNumberFormat="1" applyFont="1" applyFill="1" applyBorder="1" applyAlignment="1">
      <alignment horizontal="right"/>
    </xf>
    <xf numFmtId="164" fontId="17" fillId="10" borderId="4" xfId="0" applyNumberFormat="1" applyFont="1" applyFill="1" applyBorder="1" applyAlignment="1">
      <alignment horizontal="left"/>
    </xf>
    <xf numFmtId="165" fontId="5" fillId="8" borderId="4" xfId="0" applyNumberFormat="1" applyFont="1" applyFill="1" applyBorder="1" applyAlignment="1">
      <alignment horizontal="center" vertical="center"/>
    </xf>
    <xf numFmtId="164" fontId="5" fillId="10" borderId="7" xfId="0" applyNumberFormat="1" applyFont="1" applyFill="1" applyBorder="1" applyAlignment="1">
      <alignment horizontal="center"/>
    </xf>
    <xf numFmtId="164" fontId="5" fillId="10" borderId="7" xfId="0" applyNumberFormat="1" applyFont="1" applyFill="1" applyBorder="1" applyAlignment="1">
      <alignment horizontal="right"/>
    </xf>
    <xf numFmtId="10" fontId="5" fillId="10" borderId="7" xfId="0" applyNumberFormat="1" applyFont="1" applyFill="1" applyBorder="1" applyAlignment="1">
      <alignment horizontal="right"/>
    </xf>
    <xf numFmtId="14" fontId="5" fillId="10" borderId="7" xfId="0" applyNumberFormat="1" applyFont="1" applyFill="1" applyBorder="1" applyAlignment="1">
      <alignment horizontal="right"/>
    </xf>
    <xf numFmtId="164" fontId="5" fillId="4" borderId="7" xfId="0" applyNumberFormat="1" applyFont="1" applyFill="1" applyBorder="1" applyAlignment="1">
      <alignment horizontal="center" vertical="center"/>
    </xf>
    <xf numFmtId="164" fontId="5" fillId="10" borderId="7" xfId="0" applyNumberFormat="1" applyFont="1" applyFill="1" applyBorder="1" applyAlignment="1">
      <alignment horizontal="center" vertical="center"/>
    </xf>
    <xf numFmtId="14" fontId="5" fillId="10" borderId="4" xfId="0" applyNumberFormat="1" applyFont="1" applyFill="1" applyBorder="1" applyAlignment="1">
      <alignment horizontal="right"/>
    </xf>
    <xf numFmtId="0" fontId="0" fillId="4" borderId="9" xfId="0" applyFill="1" applyBorder="1" applyAlignment="1">
      <alignment horizontal="left" vertical="center"/>
    </xf>
    <xf numFmtId="169" fontId="5" fillId="4" borderId="4" xfId="0" applyNumberFormat="1" applyFont="1" applyFill="1" applyBorder="1" applyAlignment="1">
      <alignment horizontal="center" vertical="center"/>
    </xf>
    <xf numFmtId="169" fontId="5" fillId="7" borderId="4" xfId="0" applyNumberFormat="1" applyFont="1" applyFill="1" applyBorder="1" applyAlignment="1">
      <alignment horizontal="center"/>
    </xf>
    <xf numFmtId="167" fontId="5" fillId="7" borderId="4" xfId="0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left"/>
    </xf>
    <xf numFmtId="0" fontId="8" fillId="4" borderId="9" xfId="0" applyFont="1" applyFill="1" applyBorder="1"/>
    <xf numFmtId="4" fontId="8" fillId="4" borderId="9" xfId="0" applyNumberFormat="1" applyFont="1" applyFill="1" applyBorder="1"/>
    <xf numFmtId="166" fontId="5" fillId="4" borderId="4" xfId="0" applyNumberFormat="1" applyFont="1" applyFill="1" applyBorder="1" applyAlignment="1">
      <alignment horizontal="center"/>
    </xf>
    <xf numFmtId="164" fontId="10" fillId="4" borderId="4" xfId="0" applyNumberFormat="1" applyFont="1" applyFill="1" applyBorder="1" applyAlignment="1">
      <alignment horizontal="center"/>
    </xf>
    <xf numFmtId="167" fontId="5" fillId="4" borderId="4" xfId="0" applyNumberFormat="1" applyFont="1" applyFill="1" applyBorder="1" applyAlignment="1">
      <alignment horizontal="center"/>
    </xf>
    <xf numFmtId="10" fontId="5" fillId="11" borderId="4" xfId="0" applyNumberFormat="1" applyFont="1" applyFill="1" applyBorder="1" applyAlignment="1">
      <alignment horizontal="center"/>
    </xf>
    <xf numFmtId="14" fontId="5" fillId="11" borderId="4" xfId="0" applyNumberFormat="1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164" fontId="12" fillId="10" borderId="4" xfId="0" applyNumberFormat="1" applyFont="1" applyFill="1" applyBorder="1" applyAlignment="1">
      <alignment horizontal="center" vertical="center"/>
    </xf>
    <xf numFmtId="10" fontId="12" fillId="10" borderId="4" xfId="0" applyNumberFormat="1" applyFont="1" applyFill="1" applyBorder="1" applyAlignment="1">
      <alignment horizontal="center" vertical="center"/>
    </xf>
    <xf numFmtId="164" fontId="5" fillId="4" borderId="0" xfId="0" applyNumberFormat="1" applyFont="1" applyFill="1" applyAlignment="1">
      <alignment horizontal="center"/>
    </xf>
    <xf numFmtId="164" fontId="13" fillId="5" borderId="0" xfId="0" applyNumberFormat="1" applyFont="1" applyFill="1" applyAlignment="1">
      <alignment horizontal="center"/>
    </xf>
    <xf numFmtId="10" fontId="5" fillId="4" borderId="0" xfId="0" applyNumberFormat="1" applyFont="1" applyFill="1" applyAlignment="1">
      <alignment horizontal="center"/>
    </xf>
    <xf numFmtId="164" fontId="5" fillId="10" borderId="11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left" vertical="top"/>
    </xf>
    <xf numFmtId="164" fontId="7" fillId="4" borderId="1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9" fillId="11" borderId="0" xfId="0" applyFont="1" applyFill="1"/>
    <xf numFmtId="0" fontId="5" fillId="7" borderId="11" xfId="0" applyFont="1" applyFill="1" applyBorder="1" applyAlignment="1">
      <alignment horizontal="center"/>
    </xf>
    <xf numFmtId="10" fontId="5" fillId="4" borderId="1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169" fontId="5" fillId="4" borderId="4" xfId="0" applyNumberFormat="1" applyFont="1" applyFill="1" applyBorder="1" applyAlignment="1">
      <alignment horizontal="center"/>
    </xf>
    <xf numFmtId="14" fontId="7" fillId="4" borderId="4" xfId="0" applyNumberFormat="1" applyFont="1" applyFill="1" applyBorder="1" applyAlignment="1">
      <alignment horizontal="center" vertical="center"/>
    </xf>
    <xf numFmtId="169" fontId="7" fillId="4" borderId="4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/>
    </xf>
    <xf numFmtId="164" fontId="14" fillId="4" borderId="4" xfId="0" applyNumberFormat="1" applyFon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center" vertical="center"/>
    </xf>
    <xf numFmtId="164" fontId="10" fillId="11" borderId="4" xfId="0" applyNumberFormat="1" applyFont="1" applyFill="1" applyBorder="1" applyAlignment="1">
      <alignment horizontal="center"/>
    </xf>
    <xf numFmtId="165" fontId="5" fillId="11" borderId="4" xfId="0" applyNumberFormat="1" applyFont="1" applyFill="1" applyBorder="1" applyAlignment="1">
      <alignment horizontal="center"/>
    </xf>
    <xf numFmtId="0" fontId="9" fillId="11" borderId="0" xfId="0" applyFont="1" applyFill="1" applyAlignment="1">
      <alignment horizontal="left" vertical="center"/>
    </xf>
    <xf numFmtId="4" fontId="8" fillId="4" borderId="0" xfId="0" applyNumberFormat="1" applyFont="1" applyFill="1"/>
    <xf numFmtId="0" fontId="11" fillId="4" borderId="0" xfId="0" applyFont="1" applyFill="1"/>
    <xf numFmtId="10" fontId="5" fillId="11" borderId="0" xfId="0" applyNumberFormat="1" applyFont="1" applyFill="1" applyAlignment="1">
      <alignment horizontal="center" vertical="center"/>
    </xf>
    <xf numFmtId="10" fontId="5" fillId="11" borderId="0" xfId="0" applyNumberFormat="1" applyFont="1" applyFill="1" applyAlignment="1">
      <alignment horizontal="center"/>
    </xf>
    <xf numFmtId="166" fontId="5" fillId="11" borderId="4" xfId="0" applyNumberFormat="1" applyFont="1" applyFill="1" applyBorder="1" applyAlignment="1">
      <alignment horizontal="center"/>
    </xf>
    <xf numFmtId="164" fontId="5" fillId="11" borderId="4" xfId="0" applyNumberFormat="1" applyFont="1" applyFill="1" applyBorder="1" applyAlignment="1">
      <alignment horizontal="center"/>
    </xf>
    <xf numFmtId="167" fontId="5" fillId="11" borderId="4" xfId="0" applyNumberFormat="1" applyFont="1" applyFill="1" applyBorder="1" applyAlignment="1">
      <alignment horizontal="center"/>
    </xf>
    <xf numFmtId="2" fontId="6" fillId="5" borderId="0" xfId="0" applyNumberFormat="1" applyFont="1" applyFill="1" applyAlignment="1">
      <alignment horizontal="right"/>
    </xf>
    <xf numFmtId="164" fontId="17" fillId="4" borderId="4" xfId="0" applyNumberFormat="1" applyFont="1" applyFill="1" applyBorder="1" applyAlignment="1">
      <alignment horizontal="left"/>
    </xf>
    <xf numFmtId="0" fontId="9" fillId="4" borderId="0" xfId="0" applyFont="1" applyFill="1"/>
    <xf numFmtId="164" fontId="18" fillId="10" borderId="0" xfId="0" applyNumberFormat="1" applyFont="1" applyFill="1" applyAlignment="1">
      <alignment horizontal="right"/>
    </xf>
    <xf numFmtId="164" fontId="18" fillId="10" borderId="4" xfId="0" applyNumberFormat="1" applyFont="1" applyFill="1" applyBorder="1" applyAlignment="1">
      <alignment horizontal="right"/>
    </xf>
    <xf numFmtId="0" fontId="5" fillId="13" borderId="4" xfId="0" applyFont="1" applyFill="1" applyBorder="1" applyAlignment="1">
      <alignment horizontal="left" vertical="center"/>
    </xf>
    <xf numFmtId="2" fontId="6" fillId="11" borderId="0" xfId="0" applyNumberFormat="1" applyFont="1" applyFill="1" applyAlignment="1">
      <alignment horizontal="right"/>
    </xf>
    <xf numFmtId="0" fontId="19" fillId="4" borderId="4" xfId="0" applyFont="1" applyFill="1" applyBorder="1" applyAlignment="1">
      <alignment horizontal="left" vertical="center"/>
    </xf>
    <xf numFmtId="164" fontId="20" fillId="4" borderId="9" xfId="0" applyNumberFormat="1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4" fontId="8" fillId="4" borderId="4" xfId="0" applyNumberFormat="1" applyFont="1" applyFill="1" applyBorder="1" applyAlignment="1">
      <alignment horizontal="left" vertical="center"/>
    </xf>
    <xf numFmtId="0" fontId="9" fillId="4" borderId="4" xfId="0" applyFont="1" applyFill="1" applyBorder="1"/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0">
    <dxf>
      <font>
        <color rgb="FFD9D9D9"/>
      </font>
      <fill>
        <patternFill patternType="solid">
          <fgColor rgb="FFB7B7B7"/>
          <bgColor rgb="FFB7B7B7"/>
        </patternFill>
      </fill>
    </dxf>
    <dxf>
      <font>
        <color rgb="FFD9D9D9"/>
      </font>
      <fill>
        <patternFill patternType="solid">
          <fgColor rgb="FFFFFFFF"/>
          <bgColor rgb="FFFFFFFF"/>
        </patternFill>
      </fill>
    </dxf>
    <dxf>
      <font>
        <color rgb="FF0ECD0E"/>
      </font>
      <fill>
        <patternFill patternType="solid">
          <fgColor rgb="FFD9EAD3"/>
          <bgColor rgb="FFD9EAD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" defaultTableStyle="TableStyleMedium2" defaultPivotStyle="PivotStyleLight16">
    <tableStyle name="Alpha-style" pivot="0" count="2" xr9:uid="{CA7CF561-9163-4B7C-B681-9E6F8607D835}">
      <tableStyleElement type="firstRowStripe" dxfId="9"/>
      <tableStyleElement type="secondRowStripe" dxfId="8"/>
    </tableStyle>
    <tableStyle name="Alpha-style 2" pivot="0" count="2" xr9:uid="{C0FBD299-240F-4F7F-8A73-3885F02C6BBC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4B52D-B115-4C5B-89CA-26D31E5A3538}" name="Table_1" displayName="Table_1" ref="J2:U2" headerRowCount="0">
  <tableColumns count="12">
    <tableColumn id="1" xr3:uid="{A438204B-4C80-499C-858D-A6AEDFE1CD0B}" name="Column1">
      <calculatedColumnFormula>IFERROR(__xludf.DUMMYFUNCTION("GoogleFinance(H2)"),24.87)</calculatedColumnFormula>
    </tableColumn>
    <tableColumn id="2" xr3:uid="{23708519-65D3-4C82-BEB9-948C65B53B39}" name="Column2">
      <calculatedColumnFormula>IFERROR(__xludf.DUMMYFUNCTION("googlefinance(H2,""change"")"),-0.03)</calculatedColumnFormula>
    </tableColumn>
    <tableColumn id="3" xr3:uid="{E48955FC-82EE-4EA7-B43C-9210B3B22103}" name="Column3">
      <calculatedColumnFormula>(Q2*4)/J2</calculatedColumnFormula>
    </tableColumn>
    <tableColumn id="4" xr3:uid="{AA717188-9B0F-4B3C-9F33-27B6D79D6240}" name="Column4">
      <calculatedColumnFormula>L2*U2+(25-J2)/25/U2</calculatedColumnFormula>
    </tableColumn>
    <tableColumn id="5" xr3:uid="{007CB002-2A68-4070-B284-B89E0C59656F}" name="Column5"/>
    <tableColumn id="6" xr3:uid="{5361C867-29B9-4D15-93BA-9708B400C2B8}" name="Column6"/>
    <tableColumn id="7" xr3:uid="{04FF9081-7649-4CE7-986A-ED57B716D3C9}" name="Column7"/>
    <tableColumn id="8" xr3:uid="{6DA9208C-575C-442C-AE86-68A87E010046}" name="Column8"/>
    <tableColumn id="9" xr3:uid="{BA0CB9A8-75F6-4DDA-A0AF-52EC028793F2}" name="Column9"/>
    <tableColumn id="10" xr3:uid="{0BF32E60-AF0A-499D-A161-FFE5A50D03C4}" name="Column10"/>
    <tableColumn id="11" xr3:uid="{600F2F8E-B1EF-4BB2-8788-7079F952E325}" name="Column11"/>
    <tableColumn id="12" xr3:uid="{6895AB43-FF8D-4A30-9995-ACCB53214725}" name="Column12">
      <calculatedColumnFormula>(R2-TODAY())/365</calculatedColumnFormula>
    </tableColumn>
  </tableColumns>
  <tableStyleInfo name="Alph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242FF7-C210-4CE7-A43F-9C9C6B78F008}" name="Table_2" displayName="Table_2" ref="B3:T711" headerRowCount="0">
  <tableColumns count="19">
    <tableColumn id="1" xr3:uid="{F05AFCFD-6DD2-43A5-8818-8F411F49F965}" name="Column1"/>
    <tableColumn id="2" xr3:uid="{DA2F1F86-0F98-4B10-9D80-91C06CDCB9A3}" name="Column2"/>
    <tableColumn id="3" xr3:uid="{5D35DCF7-6482-4C65-A242-96C19159784B}" name="Column3"/>
    <tableColumn id="4" xr3:uid="{67D296DA-3AC2-4E84-91EE-1BBCB180B2CC}" name="Column4"/>
    <tableColumn id="5" xr3:uid="{F36765EB-9534-4371-8223-E40248674CE7}" name="Column5"/>
    <tableColumn id="6" xr3:uid="{602B52AF-282C-4421-95A6-CCC59838B617}" name="Column6"/>
    <tableColumn id="7" xr3:uid="{BB86E0B8-525D-42B2-9FBA-041C5C187AB6}" name="Column7"/>
    <tableColumn id="8" xr3:uid="{EF9CCEA4-EA8E-4444-9C16-9AC1664CC893}" name="Column8"/>
    <tableColumn id="9" xr3:uid="{4438E73B-9255-4900-B516-5123EC7B51EB}" name="Column9"/>
    <tableColumn id="10" xr3:uid="{FE300966-0CBE-4C26-834F-5D699F1E45A0}" name="Column10"/>
    <tableColumn id="11" xr3:uid="{728C4613-0CEF-4B17-B702-F02D124BE007}" name="Column11"/>
    <tableColumn id="12" xr3:uid="{32C90D81-C3F5-4F73-AA8A-92DA99F18ACF}" name="Column12"/>
    <tableColumn id="13" xr3:uid="{1F29EF16-4F07-4622-A44B-12B42173A32E}" name="Column13"/>
    <tableColumn id="14" xr3:uid="{14F2D3EA-78E9-4852-9C76-0F72B8205CDC}" name="Column14"/>
    <tableColumn id="15" xr3:uid="{33D2B285-9114-4486-AC7C-58CD3A7F29ED}" name="Column15"/>
    <tableColumn id="16" xr3:uid="{A4DC9C7B-934E-419B-9562-185D8D4F931C}" name="Column16"/>
    <tableColumn id="17" xr3:uid="{66E79B61-9D78-4111-B2A9-5CC098DE43FF}" name="Column17"/>
    <tableColumn id="18" xr3:uid="{429C0183-B094-41FA-AF5E-020CCD72E2B3}" name="Column18"/>
    <tableColumn id="19" xr3:uid="{F379771A-B564-4411-AA6D-7E785A9DD7EC}" name="Column19"/>
  </tableColumns>
  <tableStyleInfo name="Alpha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url?q=https://innovativeincomeinvestor.com/security/the-charles-schwab-corporation-4-45-non-cumulative-perpetual-preferred-stock-series-j/&amp;sa=D&amp;source=editors&amp;ust=1618536277972000&amp;usg=AFQjCNEKx-mNwR-AvZzph0O7usCrgj0KIg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8902-A8B0-49A7-881F-43B01D32C9B7}">
  <sheetPr>
    <outlinePr summaryBelow="0" summaryRight="0"/>
    <pageSetUpPr fitToPage="1"/>
  </sheetPr>
  <dimension ref="A1:AK71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42" sqref="J242"/>
    </sheetView>
  </sheetViews>
  <sheetFormatPr defaultColWidth="12.6640625" defaultRowHeight="15.75" customHeight="1"/>
  <cols>
    <col min="1" max="1" width="2.77734375" customWidth="1"/>
    <col min="2" max="2" width="26.77734375" customWidth="1"/>
    <col min="3" max="3" width="8.33203125" customWidth="1"/>
    <col min="4" max="4" width="6" customWidth="1"/>
    <col min="5" max="5" width="8.88671875" customWidth="1"/>
    <col min="6" max="6" width="6.88671875" customWidth="1"/>
    <col min="7" max="7" width="6.21875" customWidth="1"/>
    <col min="8" max="8" width="6.77734375" bestFit="1" customWidth="1"/>
    <col min="9" max="9" width="7.77734375" customWidth="1"/>
    <col min="10" max="10" width="6.33203125" customWidth="1"/>
    <col min="11" max="11" width="6.109375" customWidth="1"/>
    <col min="12" max="12" width="6.88671875" customWidth="1"/>
    <col min="13" max="13" width="7.33203125" customWidth="1"/>
    <col min="14" max="14" width="2.77734375" customWidth="1"/>
    <col min="15" max="15" width="5.77734375" customWidth="1"/>
    <col min="16" max="16" width="5.44140625" customWidth="1"/>
    <col min="17" max="17" width="6.21875" customWidth="1"/>
    <col min="18" max="18" width="7.88671875" customWidth="1"/>
    <col min="19" max="19" width="7.6640625" customWidth="1"/>
    <col min="20" max="20" width="10.109375" customWidth="1"/>
    <col min="21" max="21" width="12.6640625" customWidth="1"/>
    <col min="22" max="22" width="9.33203125" customWidth="1"/>
    <col min="26" max="26" width="9.109375" hidden="1" customWidth="1"/>
    <col min="27" max="32" width="0" hidden="1" customWidth="1"/>
  </cols>
  <sheetData>
    <row r="1" spans="1:37" ht="19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7" t="s">
        <v>17</v>
      </c>
      <c r="S1" s="5" t="s">
        <v>18</v>
      </c>
      <c r="T1" s="8" t="s">
        <v>19</v>
      </c>
      <c r="U1" s="9"/>
      <c r="V1" s="10" t="str">
        <f t="array" ref="V1:V711">IF(B1:B711="","","All")</f>
        <v>All</v>
      </c>
      <c r="W1" s="17">
        <f ca="1">TODAY()</f>
        <v>45848</v>
      </c>
      <c r="X1" t="s">
        <v>20</v>
      </c>
      <c r="Y1">
        <v>365</v>
      </c>
      <c r="Z1">
        <v>1</v>
      </c>
      <c r="AA1">
        <v>2</v>
      </c>
      <c r="AB1">
        <v>5</v>
      </c>
      <c r="AC1">
        <v>7</v>
      </c>
      <c r="AD1">
        <v>10</v>
      </c>
      <c r="AE1">
        <v>20</v>
      </c>
      <c r="AF1">
        <v>30</v>
      </c>
      <c r="AG1" s="18" t="s">
        <v>21</v>
      </c>
      <c r="AH1" s="18" t="s">
        <v>22</v>
      </c>
      <c r="AI1" s="18" t="s">
        <v>23</v>
      </c>
      <c r="AJ1" s="18" t="s">
        <v>24</v>
      </c>
      <c r="AK1" s="18" t="s">
        <v>25</v>
      </c>
    </row>
    <row r="2" spans="1:37" ht="17.25" customHeight="1">
      <c r="A2" s="19"/>
      <c r="B2" s="20" t="s">
        <v>26</v>
      </c>
      <c r="C2" s="21" t="s">
        <v>27</v>
      </c>
      <c r="D2" s="21" t="s">
        <v>27</v>
      </c>
      <c r="E2" s="21" t="s">
        <v>28</v>
      </c>
      <c r="F2" s="22" t="s">
        <v>29</v>
      </c>
      <c r="G2" s="21" t="s">
        <v>30</v>
      </c>
      <c r="H2" s="23" t="str">
        <f>HYPERLINK("https://innovativeincomeinvestor.com/security/abacus-life-inc-9-875-fixed-rate-senior-notes-due-2028/","ABLLL")</f>
        <v>ABLLL</v>
      </c>
      <c r="I2" s="24">
        <v>9.8750000000000004E-2</v>
      </c>
      <c r="J2" s="25">
        <f ca="1">IFERROR(__xludf.DUMMYFUNCTION("GoogleFinance(H2)"),24.87)</f>
        <v>24.87</v>
      </c>
      <c r="K2" s="26">
        <f ca="1">IFERROR(__xludf.DUMMYFUNCTION("googlefinance(H2,""change"")"),-0.03)</f>
        <v>-0.03</v>
      </c>
      <c r="L2" s="27">
        <f t="shared" ref="L2:L4" ca="1" si="0">(Q2*4)/J2</f>
        <v>9.9236027342179331E-2</v>
      </c>
      <c r="M2" s="27">
        <f t="shared" ref="M2:M4" ca="1" si="1">L2*U2+(25-J2)/25/U2</f>
        <v>0.1622939677188962</v>
      </c>
      <c r="N2" s="28" t="s">
        <v>31</v>
      </c>
      <c r="O2" s="27" t="s">
        <v>32</v>
      </c>
      <c r="P2" s="27" t="s">
        <v>32</v>
      </c>
      <c r="Q2" s="29">
        <v>0.61699999999999999</v>
      </c>
      <c r="R2" s="30">
        <v>46433</v>
      </c>
      <c r="S2" s="31">
        <v>47072</v>
      </c>
      <c r="T2" s="32" t="s">
        <v>33</v>
      </c>
      <c r="U2" s="16">
        <f t="shared" ref="U2:U47" ca="1" si="2">(R2-TODAY())/365</f>
        <v>1.6027397260273972</v>
      </c>
      <c r="V2" s="11" t="str">
        <v>All</v>
      </c>
      <c r="X2">
        <f ca="1">YIELD($W$1,Z2,I2,J2*4,100,4,0)</f>
        <v>0.10429331464950514</v>
      </c>
      <c r="Z2" s="17">
        <f ca="1">TODAY()+($Z$1*$Y$1)</f>
        <v>46213</v>
      </c>
      <c r="AA2" s="17">
        <f t="shared" ref="AA2:AF2" ca="1" si="3">TODAY()+(AA1*$Y$1)</f>
        <v>46578</v>
      </c>
      <c r="AB2" s="17">
        <f t="shared" ca="1" si="3"/>
        <v>47673</v>
      </c>
      <c r="AC2" s="17">
        <f t="shared" ca="1" si="3"/>
        <v>48403</v>
      </c>
      <c r="AD2" s="17">
        <f t="shared" ca="1" si="3"/>
        <v>49498</v>
      </c>
      <c r="AE2" s="17">
        <f t="shared" ca="1" si="3"/>
        <v>53148</v>
      </c>
      <c r="AF2" s="17">
        <f t="shared" ca="1" si="3"/>
        <v>56798</v>
      </c>
      <c r="AG2" s="33">
        <f ca="1">YIELD($W$1,$AA$2,I2,J2*4,100,4,0)</f>
        <v>0.10165604398196448</v>
      </c>
      <c r="AH2">
        <f ca="1">YIELD($W$1,$AB$2,I2,J2*4,100,4,0)</f>
        <v>0.10008424215510785</v>
      </c>
      <c r="AI2">
        <f ca="1">YIELD($W$1,$AC$2,I2,J2*4,100,4,0)</f>
        <v>9.9790397414425955E-2</v>
      </c>
      <c r="AJ2">
        <f ca="1">YIELD($W$1,$AD$2,I2,J2*4,100,4,0)</f>
        <v>9.957634125942183E-2</v>
      </c>
      <c r="AK2">
        <f ca="1">YIELD($W$1,$AE$2,I2,J2*4,100,4,0)</f>
        <v>9.9349353942428095E-2</v>
      </c>
    </row>
    <row r="3" spans="1:37" ht="17.25" customHeight="1">
      <c r="A3" s="19"/>
      <c r="B3" s="34" t="s">
        <v>34</v>
      </c>
      <c r="C3" s="35" t="s">
        <v>35</v>
      </c>
      <c r="D3" s="35" t="s">
        <v>36</v>
      </c>
      <c r="E3" s="35" t="s">
        <v>37</v>
      </c>
      <c r="F3" s="36" t="s">
        <v>29</v>
      </c>
      <c r="G3" s="35" t="s">
        <v>38</v>
      </c>
      <c r="H3" s="37" t="str">
        <f>HYPERLINK("https://innovativeincomeinvestor.com/security/aberdeen-income-cre4dit-strategies-fund-5-25-series-a-perpetual-preferred-stcok/","ACP-A")</f>
        <v>ACP-A</v>
      </c>
      <c r="I3" s="38">
        <v>5.2499999999999998E-2</v>
      </c>
      <c r="J3" s="25">
        <f ca="1">IFERROR(__xludf.DUMMYFUNCTION("GoogleFinance(H3)"),20.55)</f>
        <v>20.55</v>
      </c>
      <c r="K3" s="39">
        <f ca="1">IFERROR(__xludf.DUMMYFUNCTION("googlefinance(H3,""change"")"),-0.31)</f>
        <v>-0.31</v>
      </c>
      <c r="L3" s="40">
        <f t="shared" ca="1" si="0"/>
        <v>6.3863746958637474E-2</v>
      </c>
      <c r="M3" s="27">
        <f t="shared" ca="1" si="1"/>
        <v>0.24512813976818276</v>
      </c>
      <c r="N3" s="35" t="s">
        <v>39</v>
      </c>
      <c r="O3" s="35" t="s">
        <v>32</v>
      </c>
      <c r="P3" s="35" t="s">
        <v>40</v>
      </c>
      <c r="Q3" s="41">
        <v>0.3281</v>
      </c>
      <c r="R3" s="42">
        <v>46203</v>
      </c>
      <c r="S3" s="43" t="s">
        <v>41</v>
      </c>
      <c r="T3" s="44" t="s">
        <v>42</v>
      </c>
      <c r="U3" s="16">
        <f t="shared" ca="1" si="2"/>
        <v>0.9726027397260274</v>
      </c>
      <c r="V3" s="11" t="str">
        <v>All</v>
      </c>
      <c r="X3">
        <f t="shared" ref="X3:X66" ca="1" si="4">YIELD($W$1,Z3,I3,J3*4,100,4,0)</f>
        <v>0.26037959561274882</v>
      </c>
      <c r="Z3" s="17">
        <f t="shared" ref="Z3:Z66" ca="1" si="5">TODAY()+($Z$1*$Y$1)</f>
        <v>46213</v>
      </c>
      <c r="AG3" s="33">
        <f t="shared" ref="AG3:AG66" ca="1" si="6">YIELD($W$1,$AA$2,I3,J3*4,100,4,0)</f>
        <v>0.15803769841336415</v>
      </c>
      <c r="AH3">
        <f t="shared" ref="AH3:AH66" ca="1" si="7">YIELD($W$1,$AB$2,I3,J3*4,100,4,0)</f>
        <v>9.7973687750862112E-2</v>
      </c>
      <c r="AI3">
        <f t="shared" ref="AI3:AI66" ca="1" si="8">YIELD($W$1,$AC$2,I3,J3*4,100,4,0)</f>
        <v>8.6707033177207557E-2</v>
      </c>
      <c r="AJ3">
        <f t="shared" ref="AJ3:AJ66" ca="1" si="9">YIELD($W$1,$AD$2,I3,J3*4,100,4,0)</f>
        <v>7.8348727857523295E-2</v>
      </c>
      <c r="AK3">
        <f t="shared" ref="AK3:AK66" ca="1" si="10">YIELD($W$1,$AE$2,I3,J3*4,100,4,0)</f>
        <v>6.8978096746148965E-2</v>
      </c>
    </row>
    <row r="4" spans="1:37" ht="17.25" customHeight="1">
      <c r="A4" s="19"/>
      <c r="B4" s="45" t="s">
        <v>43</v>
      </c>
      <c r="C4" s="28" t="s">
        <v>35</v>
      </c>
      <c r="D4" s="28" t="s">
        <v>27</v>
      </c>
      <c r="E4" s="28" t="s">
        <v>44</v>
      </c>
      <c r="F4" s="36" t="s">
        <v>29</v>
      </c>
      <c r="G4" s="28" t="s">
        <v>38</v>
      </c>
      <c r="H4" s="46" t="str">
        <f>HYPERLINK("https://innovativeincomeinvestor.com/security/acres-commercial-realty-corp-7-875-series-d-cumulative-redeemable-preferred-stock/","ACR-D")</f>
        <v>ACR-D</v>
      </c>
      <c r="I4" s="47">
        <v>7.8750000000000001E-2</v>
      </c>
      <c r="J4" s="25">
        <f ca="1">IFERROR(__xludf.DUMMYFUNCTION("GoogleFinance(H4)"),22.17)</f>
        <v>22.17</v>
      </c>
      <c r="K4" s="48">
        <f ca="1">IFERROR(__xludf.DUMMYFUNCTION("googlefinance(H4,""change"")"),0)</f>
        <v>0</v>
      </c>
      <c r="L4" s="27">
        <f t="shared" ca="1" si="0"/>
        <v>8.8407758231844824E-2</v>
      </c>
      <c r="M4" s="27">
        <f t="shared" ca="1" si="1"/>
        <v>0.20746536038751723</v>
      </c>
      <c r="N4" s="28" t="s">
        <v>31</v>
      </c>
      <c r="O4" s="27" t="s">
        <v>32</v>
      </c>
      <c r="P4" s="27" t="s">
        <v>32</v>
      </c>
      <c r="Q4" s="29">
        <v>0.49</v>
      </c>
      <c r="R4" s="49">
        <v>46163</v>
      </c>
      <c r="S4" s="36" t="s">
        <v>41</v>
      </c>
      <c r="T4" s="50" t="s">
        <v>45</v>
      </c>
      <c r="U4" s="16">
        <f t="shared" ca="1" si="2"/>
        <v>0.86301369863013699</v>
      </c>
      <c r="V4" s="11" t="str">
        <v>All</v>
      </c>
      <c r="X4">
        <f t="shared" ca="1" si="4"/>
        <v>0.20696159791907562</v>
      </c>
      <c r="Z4" s="17">
        <f t="shared" ca="1" si="5"/>
        <v>46213</v>
      </c>
      <c r="AG4" s="33">
        <f t="shared" ca="1" si="6"/>
        <v>0.14496338937833078</v>
      </c>
      <c r="AH4">
        <f t="shared" ca="1" si="7"/>
        <v>0.10838583272116725</v>
      </c>
      <c r="AI4">
        <f t="shared" ca="1" si="8"/>
        <v>0.10155214369624911</v>
      </c>
      <c r="AJ4">
        <f t="shared" ca="1" si="9"/>
        <v>9.6530460064510729E-2</v>
      </c>
      <c r="AK4">
        <f t="shared" ca="1" si="10"/>
        <v>9.1102982641582356E-2</v>
      </c>
    </row>
    <row r="5" spans="1:37" ht="17.25" customHeight="1">
      <c r="A5" s="19"/>
      <c r="B5" s="45" t="s">
        <v>43</v>
      </c>
      <c r="C5" s="28" t="s">
        <v>35</v>
      </c>
      <c r="D5" s="28" t="s">
        <v>27</v>
      </c>
      <c r="E5" s="28" t="s">
        <v>44</v>
      </c>
      <c r="F5" s="36" t="s">
        <v>46</v>
      </c>
      <c r="G5" s="28" t="s">
        <v>38</v>
      </c>
      <c r="H5" s="51" t="str">
        <f>HYPERLINK("https://innovativeincomeinvestor.com/security/resource-capital-corp-8-625-fixedfloat-series-cumul-redeem-preferred-stock/","ACR-C")</f>
        <v>ACR-C</v>
      </c>
      <c r="I5" s="47">
        <v>8.6249999999999993E-2</v>
      </c>
      <c r="J5" s="25">
        <f ca="1">IFERROR(__xludf.DUMMYFUNCTION("GoogleFinance(H5)"),24.75)</f>
        <v>24.75</v>
      </c>
      <c r="K5" s="48">
        <f ca="1">IFERROR(__xludf.DUMMYFUNCTION("googlefinance(H5,""change"")"),0.13)</f>
        <v>0.13</v>
      </c>
      <c r="L5" s="52" t="s">
        <v>47</v>
      </c>
      <c r="M5" s="52" t="s">
        <v>47</v>
      </c>
      <c r="N5" s="28" t="s">
        <v>31</v>
      </c>
      <c r="O5" s="27" t="s">
        <v>32</v>
      </c>
      <c r="P5" s="27" t="s">
        <v>32</v>
      </c>
      <c r="Q5" s="52" t="s">
        <v>47</v>
      </c>
      <c r="R5" s="53">
        <v>45503</v>
      </c>
      <c r="S5" s="54" t="s">
        <v>41</v>
      </c>
      <c r="T5" s="50" t="s">
        <v>45</v>
      </c>
      <c r="U5" s="16">
        <f t="shared" ca="1" si="2"/>
        <v>-0.9452054794520548</v>
      </c>
      <c r="V5" s="11" t="str">
        <v>All</v>
      </c>
      <c r="X5">
        <f t="shared" ca="1" si="4"/>
        <v>9.6862632914570687E-2</v>
      </c>
      <c r="Z5" s="17">
        <f t="shared" ca="1" si="5"/>
        <v>46213</v>
      </c>
      <c r="AG5" s="33">
        <f t="shared" ca="1" si="6"/>
        <v>9.1779918155651952E-2</v>
      </c>
      <c r="AH5">
        <f t="shared" ca="1" si="7"/>
        <v>8.8748663619029347E-2</v>
      </c>
      <c r="AI5">
        <f t="shared" ca="1" si="8"/>
        <v>8.8179878482956414E-2</v>
      </c>
      <c r="AJ5">
        <f t="shared" ca="1" si="9"/>
        <v>8.7762210628324525E-2</v>
      </c>
      <c r="AK5">
        <f t="shared" ca="1" si="10"/>
        <v>8.7310822464552892E-2</v>
      </c>
    </row>
    <row r="6" spans="1:37" ht="17.25" customHeight="1">
      <c r="A6" s="19"/>
      <c r="B6" s="45" t="s">
        <v>48</v>
      </c>
      <c r="C6" s="28" t="s">
        <v>27</v>
      </c>
      <c r="D6" s="28" t="s">
        <v>27</v>
      </c>
      <c r="E6" s="28" t="s">
        <v>28</v>
      </c>
      <c r="F6" s="36" t="s">
        <v>29</v>
      </c>
      <c r="G6" s="28" t="s">
        <v>30</v>
      </c>
      <c r="H6" s="55" t="str">
        <f>HYPERLINK("https://innovativeincomeinvestor.com/security/aegon-funding-company-llc-5-10-subordinated-notes-due-2049/","AEFC")</f>
        <v>AEFC</v>
      </c>
      <c r="I6" s="47">
        <v>5.0999999999999997E-2</v>
      </c>
      <c r="J6" s="56">
        <f ca="1">IFERROR(__xludf.DUMMYFUNCTION("importxml(""https://bigcharts.marketwatch.com/quickchart/quickchart.asp?symb=AEFC&amp;insttype=Stock"",""/html/body/div[1]/div[2]/table/tbody/tr/td[1]/table/tbody/tr[3]/td[1]/div"")"),19.84)</f>
        <v>19.84</v>
      </c>
      <c r="K6" s="57" t="s">
        <v>49</v>
      </c>
      <c r="L6" s="58">
        <f t="shared" ref="L6:L14" ca="1" si="11">(Q6*4)/J6</f>
        <v>6.4516129032258063E-2</v>
      </c>
      <c r="M6" s="27">
        <f t="shared" ref="M6:M7" ca="1" si="12">(25-J6)/25</f>
        <v>0.2064</v>
      </c>
      <c r="N6" s="59" t="s">
        <v>39</v>
      </c>
      <c r="O6" s="59" t="s">
        <v>50</v>
      </c>
      <c r="P6" s="59" t="s">
        <v>51</v>
      </c>
      <c r="Q6" s="60">
        <v>0.32</v>
      </c>
      <c r="R6" s="49">
        <v>45641</v>
      </c>
      <c r="S6" s="61">
        <v>54772</v>
      </c>
      <c r="T6" s="62" t="s">
        <v>52</v>
      </c>
      <c r="U6" s="16">
        <f t="shared" ca="1" si="2"/>
        <v>-0.56712328767123288</v>
      </c>
      <c r="V6" s="11" t="str">
        <v>All</v>
      </c>
      <c r="X6">
        <f t="shared" ca="1" si="4"/>
        <v>0.29709635257153688</v>
      </c>
      <c r="Z6" s="17">
        <f t="shared" ca="1" si="5"/>
        <v>46213</v>
      </c>
      <c r="AG6" s="33">
        <f t="shared" ca="1" si="6"/>
        <v>0.17560804041488334</v>
      </c>
      <c r="AH6">
        <f t="shared" ca="1" si="7"/>
        <v>0.10455327121038513</v>
      </c>
      <c r="AI6">
        <f t="shared" ca="1" si="8"/>
        <v>9.1244041691531524E-2</v>
      </c>
      <c r="AJ6">
        <f t="shared" ca="1" si="9"/>
        <v>8.1372971466345395E-2</v>
      </c>
      <c r="AK6">
        <f t="shared" ca="1" si="10"/>
        <v>7.0304893419612352E-2</v>
      </c>
    </row>
    <row r="7" spans="1:37" ht="17.25" customHeight="1">
      <c r="A7" s="19"/>
      <c r="B7" s="45" t="s">
        <v>53</v>
      </c>
      <c r="C7" s="28" t="s">
        <v>27</v>
      </c>
      <c r="D7" s="28" t="s">
        <v>27</v>
      </c>
      <c r="E7" s="28" t="s">
        <v>54</v>
      </c>
      <c r="F7" s="36" t="s">
        <v>29</v>
      </c>
      <c r="G7" s="28" t="s">
        <v>30</v>
      </c>
      <c r="H7" s="63" t="str">
        <f>HYPERLINK("https://innovativeincomeinvestor.com/security/affiliated-managers-group-inc-5-875-junior-subordinated-notes-due-2059/","MGR")</f>
        <v>MGR</v>
      </c>
      <c r="I7" s="47">
        <v>5.8749999999999997E-2</v>
      </c>
      <c r="J7" s="56">
        <f ca="1">IFERROR(__xludf.DUMMYFUNCTION("importxml(""https://bigcharts.marketwatch.com/quickchart/quickchart.asp?symb=MGR&amp;insttype=Stock"",""/html/body/div[1]/div[2]/table/tbody/tr/td[1]/table/tbody/tr[3]/td[1]/div"")"),20.9)</f>
        <v>20.9</v>
      </c>
      <c r="K7" s="48">
        <f ca="1">IFERROR(__xludf.DUMMYFUNCTION("googlefinance(H7,""change"")"),-0.15)</f>
        <v>-0.15</v>
      </c>
      <c r="L7" s="27">
        <f t="shared" ca="1" si="11"/>
        <v>7.0813397129186606E-2</v>
      </c>
      <c r="M7" s="27">
        <f t="shared" ca="1" si="12"/>
        <v>0.16400000000000006</v>
      </c>
      <c r="N7" s="28" t="s">
        <v>39</v>
      </c>
      <c r="O7" s="28" t="s">
        <v>55</v>
      </c>
      <c r="P7" s="28" t="s">
        <v>51</v>
      </c>
      <c r="Q7" s="29">
        <v>0.37</v>
      </c>
      <c r="R7" s="64">
        <v>45381</v>
      </c>
      <c r="S7" s="61">
        <v>58164</v>
      </c>
      <c r="T7" s="62" t="s">
        <v>56</v>
      </c>
      <c r="U7" s="16">
        <f t="shared" ca="1" si="2"/>
        <v>-1.2794520547945205</v>
      </c>
      <c r="V7" s="11" t="str">
        <v>All</v>
      </c>
      <c r="X7">
        <f t="shared" ca="1" si="4"/>
        <v>0.24904750631255071</v>
      </c>
      <c r="Z7" s="17">
        <f t="shared" ca="1" si="5"/>
        <v>46213</v>
      </c>
      <c r="AG7" s="33">
        <f t="shared" ca="1" si="6"/>
        <v>0.15575804160849865</v>
      </c>
      <c r="AH7">
        <f t="shared" ca="1" si="7"/>
        <v>0.10094172582291247</v>
      </c>
      <c r="AI7">
        <f t="shared" ca="1" si="8"/>
        <v>9.0668011939581669E-2</v>
      </c>
      <c r="AJ7">
        <f t="shared" ca="1" si="9"/>
        <v>8.3061891905040472E-2</v>
      </c>
      <c r="AK7">
        <f t="shared" ca="1" si="10"/>
        <v>7.4602846055068686E-2</v>
      </c>
    </row>
    <row r="8" spans="1:37" ht="17.25" customHeight="1">
      <c r="A8" s="19"/>
      <c r="B8" s="45" t="s">
        <v>53</v>
      </c>
      <c r="C8" s="28" t="s">
        <v>27</v>
      </c>
      <c r="D8" s="28" t="s">
        <v>27</v>
      </c>
      <c r="E8" s="28" t="s">
        <v>54</v>
      </c>
      <c r="F8" s="36" t="s">
        <v>29</v>
      </c>
      <c r="G8" s="28" t="s">
        <v>30</v>
      </c>
      <c r="H8" s="23" t="str">
        <f>HYPERLINK("https://innovativeincomeinvestor.com/security/affiliated-managers-group-4-75-junior-subordinated-notes-due-9-30-2060/","MGRB")</f>
        <v>MGRB</v>
      </c>
      <c r="I8" s="47">
        <v>4.7500000000000001E-2</v>
      </c>
      <c r="J8" s="65">
        <f ca="1">IFERROR(__xludf.DUMMYFUNCTION("GoogleFinance(H8)"),17.19)</f>
        <v>17.190000000000001</v>
      </c>
      <c r="K8" s="48">
        <f ca="1">IFERROR(__xludf.DUMMYFUNCTION("googlefinance(H8,""change"")"),-0.11)</f>
        <v>-0.11</v>
      </c>
      <c r="L8" s="27">
        <f t="shared" ca="1" si="11"/>
        <v>6.9080860965677712E-2</v>
      </c>
      <c r="M8" s="40">
        <f t="shared" ref="M8:M10" ca="1" si="13">L8*U8+(25-J8)/25/U8</f>
        <v>1.4060805114979356</v>
      </c>
      <c r="N8" s="28" t="s">
        <v>39</v>
      </c>
      <c r="O8" s="28" t="s">
        <v>55</v>
      </c>
      <c r="P8" s="28" t="s">
        <v>51</v>
      </c>
      <c r="Q8" s="29">
        <f t="shared" ref="Q8:Q10" si="14">(I8*25)/4</f>
        <v>0.296875</v>
      </c>
      <c r="R8" s="64">
        <v>45930</v>
      </c>
      <c r="S8" s="61">
        <v>58714</v>
      </c>
      <c r="T8" s="62" t="s">
        <v>56</v>
      </c>
      <c r="U8" s="16">
        <f t="shared" ca="1" si="2"/>
        <v>0.22465753424657534</v>
      </c>
      <c r="V8" s="11" t="str">
        <v>All</v>
      </c>
      <c r="X8">
        <f t="shared" ca="1" si="4"/>
        <v>0.45309862868758616</v>
      </c>
      <c r="Z8" s="17">
        <f t="shared" ca="1" si="5"/>
        <v>46213</v>
      </c>
      <c r="AG8" s="33">
        <f t="shared" ca="1" si="6"/>
        <v>0.25090775702130208</v>
      </c>
      <c r="AH8">
        <f t="shared" ca="1" si="7"/>
        <v>0.13433340995986967</v>
      </c>
      <c r="AI8">
        <f t="shared" ca="1" si="8"/>
        <v>0.11263921384367494</v>
      </c>
      <c r="AJ8">
        <f t="shared" ca="1" si="9"/>
        <v>9.6581348514919507E-2</v>
      </c>
      <c r="AK8">
        <f t="shared" ca="1" si="10"/>
        <v>7.8629296505236743E-2</v>
      </c>
    </row>
    <row r="9" spans="1:37" ht="17.25" customHeight="1">
      <c r="A9" s="19"/>
      <c r="B9" s="45" t="s">
        <v>53</v>
      </c>
      <c r="C9" s="28" t="s">
        <v>27</v>
      </c>
      <c r="D9" s="28" t="s">
        <v>27</v>
      </c>
      <c r="E9" s="28" t="s">
        <v>54</v>
      </c>
      <c r="F9" s="36" t="s">
        <v>29</v>
      </c>
      <c r="G9" s="28" t="s">
        <v>30</v>
      </c>
      <c r="H9" s="55" t="str">
        <f>HYPERLINK("https://innovativeincomeinvestor.com/security/affiliated-managers-group-4-20-junior-subordinated-notes-due-2061/","MGRD")</f>
        <v>MGRD</v>
      </c>
      <c r="I9" s="47">
        <v>4.2000000000000003E-2</v>
      </c>
      <c r="J9" s="65">
        <f ca="1">IFERROR(__xludf.DUMMYFUNCTION("GoogleFinance(H9)"),15.36)</f>
        <v>15.36</v>
      </c>
      <c r="K9" s="48">
        <f ca="1">IFERROR(__xludf.DUMMYFUNCTION("googlefinance(H9,""change"")"),-0.07)</f>
        <v>-7.0000000000000007E-2</v>
      </c>
      <c r="L9" s="27">
        <f t="shared" ca="1" si="11"/>
        <v>6.8359375E-2</v>
      </c>
      <c r="M9" s="40">
        <f t="shared" ca="1" si="13"/>
        <v>0.39858035830575222</v>
      </c>
      <c r="N9" s="28" t="s">
        <v>39</v>
      </c>
      <c r="O9" s="28" t="s">
        <v>55</v>
      </c>
      <c r="P9" s="28" t="s">
        <v>51</v>
      </c>
      <c r="Q9" s="29">
        <f t="shared" si="14"/>
        <v>0.26250000000000001</v>
      </c>
      <c r="R9" s="64">
        <v>46295</v>
      </c>
      <c r="S9" s="61">
        <v>59079</v>
      </c>
      <c r="T9" s="62" t="s">
        <v>56</v>
      </c>
      <c r="U9" s="16">
        <f t="shared" ca="1" si="2"/>
        <v>1.2246575342465753</v>
      </c>
      <c r="V9" s="11" t="str">
        <v>All</v>
      </c>
      <c r="X9">
        <f t="shared" ca="1" si="4"/>
        <v>0.57559607759771136</v>
      </c>
      <c r="Z9" s="17">
        <f t="shared" ca="1" si="5"/>
        <v>46213</v>
      </c>
      <c r="AG9" s="33">
        <f t="shared" ca="1" si="6"/>
        <v>0.30713289493777418</v>
      </c>
      <c r="AH9">
        <f t="shared" ca="1" si="7"/>
        <v>0.1540415840837687</v>
      </c>
      <c r="AI9">
        <f t="shared" ca="1" si="8"/>
        <v>0.12567199482225444</v>
      </c>
      <c r="AJ9">
        <f t="shared" ca="1" si="9"/>
        <v>0.10467948686467969</v>
      </c>
      <c r="AK9">
        <f t="shared" ca="1" si="10"/>
        <v>8.1151382648377651E-2</v>
      </c>
    </row>
    <row r="10" spans="1:37" ht="17.25" customHeight="1">
      <c r="A10" s="19"/>
      <c r="B10" s="45" t="s">
        <v>53</v>
      </c>
      <c r="C10" s="28" t="s">
        <v>27</v>
      </c>
      <c r="D10" s="28" t="s">
        <v>27</v>
      </c>
      <c r="E10" s="28" t="s">
        <v>54</v>
      </c>
      <c r="F10" s="36" t="s">
        <v>29</v>
      </c>
      <c r="G10" s="28" t="s">
        <v>30</v>
      </c>
      <c r="H10" s="23" t="str">
        <f>HYPERLINK("https://innovativeincomeinvestor.com/security/affiliated-managers-group-inc-6-75-junior-subordinated-notes-due-2064/","MGRE")</f>
        <v>MGRE</v>
      </c>
      <c r="I10" s="47">
        <v>6.7500000000000004E-2</v>
      </c>
      <c r="J10" s="65">
        <f ca="1">IFERROR(__xludf.DUMMYFUNCTION("GoogleFinance(H10)"),23.66)</f>
        <v>23.66</v>
      </c>
      <c r="K10" s="48">
        <f ca="1">IFERROR(__xludf.DUMMYFUNCTION("googlefinance(H10,""change"")"),-0.17)</f>
        <v>-0.17</v>
      </c>
      <c r="L10" s="27">
        <f t="shared" ca="1" si="11"/>
        <v>7.1322907861369397E-2</v>
      </c>
      <c r="M10" s="40">
        <f t="shared" ca="1" si="13"/>
        <v>0.27995158283974675</v>
      </c>
      <c r="N10" s="28" t="s">
        <v>39</v>
      </c>
      <c r="O10" s="28" t="s">
        <v>55</v>
      </c>
      <c r="P10" s="28" t="s">
        <v>51</v>
      </c>
      <c r="Q10" s="29">
        <f t="shared" si="14"/>
        <v>0.421875</v>
      </c>
      <c r="R10" s="64">
        <v>47207</v>
      </c>
      <c r="S10" s="61">
        <v>59991</v>
      </c>
      <c r="T10" s="62" t="s">
        <v>56</v>
      </c>
      <c r="U10" s="16">
        <f t="shared" ca="1" si="2"/>
        <v>3.7232876712328768</v>
      </c>
      <c r="V10" s="11" t="str">
        <v>All</v>
      </c>
      <c r="X10">
        <f t="shared" ca="1" si="4"/>
        <v>0.12536449466208957</v>
      </c>
      <c r="Z10" s="17">
        <f t="shared" ca="1" si="5"/>
        <v>46213</v>
      </c>
      <c r="AG10" s="33">
        <f t="shared" ca="1" si="6"/>
        <v>9.7316319546598265E-2</v>
      </c>
      <c r="AH10">
        <f t="shared" ca="1" si="7"/>
        <v>8.0637668178507441E-2</v>
      </c>
      <c r="AI10">
        <f t="shared" ca="1" si="8"/>
        <v>7.7498486315652426E-2</v>
      </c>
      <c r="AJ10">
        <f t="shared" ca="1" si="9"/>
        <v>7.5175088094004208E-2</v>
      </c>
      <c r="AK10">
        <f t="shared" ca="1" si="10"/>
        <v>7.2602124672812213E-2</v>
      </c>
    </row>
    <row r="11" spans="1:37" ht="17.25" customHeight="1">
      <c r="A11" s="19"/>
      <c r="B11" s="45" t="s">
        <v>57</v>
      </c>
      <c r="C11" s="28" t="s">
        <v>35</v>
      </c>
      <c r="D11" s="28" t="s">
        <v>27</v>
      </c>
      <c r="E11" s="28" t="s">
        <v>44</v>
      </c>
      <c r="F11" s="36" t="s">
        <v>29</v>
      </c>
      <c r="G11" s="28" t="s">
        <v>38</v>
      </c>
      <c r="H11" s="66" t="str">
        <f>HYPERLINK("https://innovativeincomeinvestor.com/security/ag-mortgage-investment-trust-00-series-b-cumulative-redeemable-preferred-stock/","MITT-B")</f>
        <v>MITT-B</v>
      </c>
      <c r="I11" s="47">
        <v>0.08</v>
      </c>
      <c r="J11" s="65">
        <f ca="1">IFERROR(__xludf.DUMMYFUNCTION("GoogleFinance(H11)"),21.15)</f>
        <v>21.15</v>
      </c>
      <c r="K11" s="67">
        <f ca="1">IFERROR(__xludf.DUMMYFUNCTION("googlefinance(H11,""change"")"),0.22)</f>
        <v>0.22</v>
      </c>
      <c r="L11" s="27">
        <f t="shared" ca="1" si="11"/>
        <v>9.4562647754137127E-2</v>
      </c>
      <c r="M11" s="27">
        <f t="shared" ref="M11:M12" ca="1" si="15">(25-J11)/25</f>
        <v>0.15400000000000005</v>
      </c>
      <c r="N11" s="28" t="s">
        <v>31</v>
      </c>
      <c r="O11" s="28" t="s">
        <v>32</v>
      </c>
      <c r="P11" s="28" t="s">
        <v>32</v>
      </c>
      <c r="Q11" s="29">
        <v>0.5</v>
      </c>
      <c r="R11" s="64">
        <v>43005</v>
      </c>
      <c r="S11" s="54" t="s">
        <v>41</v>
      </c>
      <c r="T11" s="62" t="s">
        <v>58</v>
      </c>
      <c r="U11" s="16">
        <f t="shared" ca="1" si="2"/>
        <v>-7.7890410958904113</v>
      </c>
      <c r="V11" s="11" t="str">
        <v>All</v>
      </c>
      <c r="X11">
        <f t="shared" ca="1" si="4"/>
        <v>0.25979069684230394</v>
      </c>
      <c r="Z11" s="17">
        <f t="shared" ca="1" si="5"/>
        <v>46213</v>
      </c>
      <c r="AG11" s="33">
        <f t="shared" ca="1" si="6"/>
        <v>0.17269608183555257</v>
      </c>
      <c r="AH11">
        <f t="shared" ca="1" si="7"/>
        <v>0.12157139350614576</v>
      </c>
      <c r="AI11">
        <f t="shared" ca="1" si="8"/>
        <v>0.11205179195537954</v>
      </c>
      <c r="AJ11">
        <f t="shared" ca="1" si="9"/>
        <v>0.10507315542338103</v>
      </c>
      <c r="AK11">
        <f t="shared" ca="1" si="10"/>
        <v>9.758783700788394E-2</v>
      </c>
    </row>
    <row r="12" spans="1:37" ht="17.25" customHeight="1">
      <c r="A12" s="19"/>
      <c r="B12" s="45" t="s">
        <v>57</v>
      </c>
      <c r="C12" s="28" t="s">
        <v>35</v>
      </c>
      <c r="D12" s="28" t="s">
        <v>27</v>
      </c>
      <c r="E12" s="28" t="s">
        <v>44</v>
      </c>
      <c r="F12" s="36" t="s">
        <v>29</v>
      </c>
      <c r="G12" s="28" t="s">
        <v>38</v>
      </c>
      <c r="H12" s="66" t="str">
        <f>HYPERLINK("https://innovativeincomeinvestor.com/security/ag-mortgage-investment-trust-8-25-series-b-cumulative-redeemable-preferred-stock/","MITT-A")</f>
        <v>MITT-A</v>
      </c>
      <c r="I12" s="47">
        <v>8.2500000000000004E-2</v>
      </c>
      <c r="J12" s="65">
        <f ca="1">IFERROR(__xludf.DUMMYFUNCTION("GoogleFinance(H12)"),21.33)</f>
        <v>21.33</v>
      </c>
      <c r="K12" s="67">
        <f ca="1">IFERROR(__xludf.DUMMYFUNCTION("googlefinance(H12,""change"")"),-0.22)</f>
        <v>-0.22</v>
      </c>
      <c r="L12" s="27">
        <f t="shared" ca="1" si="11"/>
        <v>9.7515236755743098E-2</v>
      </c>
      <c r="M12" s="27">
        <f t="shared" ca="1" si="15"/>
        <v>0.14680000000000007</v>
      </c>
      <c r="N12" s="28" t="s">
        <v>31</v>
      </c>
      <c r="O12" s="28" t="s">
        <v>32</v>
      </c>
      <c r="P12" s="28" t="s">
        <v>32</v>
      </c>
      <c r="Q12" s="29">
        <v>0.52</v>
      </c>
      <c r="R12" s="64">
        <v>42950</v>
      </c>
      <c r="S12" s="54" t="s">
        <v>41</v>
      </c>
      <c r="T12" s="62" t="s">
        <v>58</v>
      </c>
      <c r="U12" s="16">
        <f t="shared" ca="1" si="2"/>
        <v>-7.9397260273972599</v>
      </c>
      <c r="V12" s="11" t="str">
        <v>All</v>
      </c>
      <c r="X12">
        <f t="shared" ca="1" si="4"/>
        <v>0.25324793423459241</v>
      </c>
      <c r="Z12" s="17">
        <f t="shared" ca="1" si="5"/>
        <v>46213</v>
      </c>
      <c r="AG12" s="33">
        <f t="shared" ca="1" si="6"/>
        <v>0.17067963320266583</v>
      </c>
      <c r="AH12">
        <f t="shared" ca="1" si="7"/>
        <v>0.12218370711899858</v>
      </c>
      <c r="AI12">
        <f t="shared" ca="1" si="8"/>
        <v>0.11315765981847518</v>
      </c>
      <c r="AJ12">
        <f t="shared" ca="1" si="9"/>
        <v>0.1065478538583523</v>
      </c>
      <c r="AK12">
        <f t="shared" ca="1" si="10"/>
        <v>9.9486346222907279E-2</v>
      </c>
    </row>
    <row r="13" spans="1:37" ht="17.25" customHeight="1">
      <c r="A13" s="19"/>
      <c r="B13" s="45" t="s">
        <v>57</v>
      </c>
      <c r="C13" s="28" t="s">
        <v>27</v>
      </c>
      <c r="D13" s="28" t="s">
        <v>27</v>
      </c>
      <c r="E13" s="28" t="s">
        <v>44</v>
      </c>
      <c r="F13" s="28" t="s">
        <v>29</v>
      </c>
      <c r="G13" s="28" t="s">
        <v>30</v>
      </c>
      <c r="H13" s="23" t="str">
        <f>HYPERLINK("https://innovativeincomeinvestor.com/security/ag-mortgage-investment-trust-inc-9-50-senior-notes-due-2029/","MITN")</f>
        <v>MITN</v>
      </c>
      <c r="I13" s="47">
        <v>9.5000000000000001E-2</v>
      </c>
      <c r="J13" s="65">
        <f ca="1">IFERROR(__xludf.DUMMYFUNCTION("GoogleFinance(H13)"),25.31)</f>
        <v>25.31</v>
      </c>
      <c r="K13" s="67">
        <f ca="1">IFERROR(__xludf.DUMMYFUNCTION("googlefinance(H13,""change"")"),-0.07)</f>
        <v>-7.0000000000000007E-2</v>
      </c>
      <c r="L13" s="27">
        <f t="shared" ca="1" si="11"/>
        <v>9.3717898064006322E-2</v>
      </c>
      <c r="M13" s="27">
        <f t="shared" ref="M13:M14" ca="1" si="16">L13*U13+(25-J13)/25/U13</f>
        <v>3.5914772930235525E-2</v>
      </c>
      <c r="N13" s="28" t="s">
        <v>31</v>
      </c>
      <c r="O13" s="28" t="s">
        <v>32</v>
      </c>
      <c r="P13" s="28" t="s">
        <v>32</v>
      </c>
      <c r="Q13" s="29">
        <v>0.59299999999999997</v>
      </c>
      <c r="R13" s="64">
        <v>46068</v>
      </c>
      <c r="S13" s="61">
        <v>47164</v>
      </c>
      <c r="T13" s="62" t="s">
        <v>33</v>
      </c>
      <c r="U13" s="16">
        <f t="shared" ca="1" si="2"/>
        <v>0.60273972602739723</v>
      </c>
      <c r="V13" s="11" t="str">
        <v>All</v>
      </c>
      <c r="X13">
        <f t="shared" ca="1" si="4"/>
        <v>8.1958381795927612E-2</v>
      </c>
      <c r="Z13" s="17">
        <f t="shared" ca="1" si="5"/>
        <v>46213</v>
      </c>
      <c r="AG13" s="33">
        <f t="shared" ca="1" si="6"/>
        <v>8.8169383473363186E-2</v>
      </c>
      <c r="AH13">
        <f t="shared" ca="1" si="7"/>
        <v>9.1876902363461882E-2</v>
      </c>
      <c r="AI13">
        <f t="shared" ca="1" si="8"/>
        <v>9.2570821810550069E-2</v>
      </c>
      <c r="AJ13">
        <f t="shared" ca="1" si="9"/>
        <v>9.307969205963082E-2</v>
      </c>
      <c r="AK13">
        <f t="shared" ca="1" si="10"/>
        <v>9.3620798873990399E-2</v>
      </c>
    </row>
    <row r="14" spans="1:37" ht="17.25" customHeight="1">
      <c r="A14" s="19"/>
      <c r="B14" s="45" t="s">
        <v>57</v>
      </c>
      <c r="C14" s="28" t="s">
        <v>27</v>
      </c>
      <c r="D14" s="28" t="s">
        <v>27</v>
      </c>
      <c r="E14" s="28" t="s">
        <v>44</v>
      </c>
      <c r="F14" s="28" t="s">
        <v>29</v>
      </c>
      <c r="G14" s="28" t="s">
        <v>30</v>
      </c>
      <c r="H14" s="23" t="str">
        <f>HYPERLINK("https://innovativeincomeinvestor.com/security/ag-mortgage-investment-trust-inc-9-50-senior-notes-due-2029-2/","MITP")</f>
        <v>MITP</v>
      </c>
      <c r="I14" s="47">
        <v>9.5000000000000001E-2</v>
      </c>
      <c r="J14" s="65">
        <f ca="1">IFERROR(__xludf.DUMMYFUNCTION("GoogleFinance(H14)"),25.26)</f>
        <v>25.26</v>
      </c>
      <c r="K14" s="67">
        <f ca="1">IFERROR(__xludf.DUMMYFUNCTION("googlefinance(H14,""change"")"),0.01)</f>
        <v>0.01</v>
      </c>
      <c r="L14" s="27">
        <f t="shared" ca="1" si="11"/>
        <v>9.3903404592240683E-2</v>
      </c>
      <c r="M14" s="27">
        <f t="shared" ca="1" si="16"/>
        <v>6.7211517257363337E-2</v>
      </c>
      <c r="N14" s="28" t="s">
        <v>31</v>
      </c>
      <c r="O14" s="28" t="s">
        <v>32</v>
      </c>
      <c r="P14" s="28" t="s">
        <v>32</v>
      </c>
      <c r="Q14" s="29">
        <v>0.59299999999999997</v>
      </c>
      <c r="R14" s="64">
        <v>46157</v>
      </c>
      <c r="S14" s="61">
        <v>47253</v>
      </c>
      <c r="T14" s="62" t="s">
        <v>33</v>
      </c>
      <c r="U14" s="16">
        <f t="shared" ca="1" si="2"/>
        <v>0.84657534246575339</v>
      </c>
      <c r="V14" s="11" t="str">
        <v>All</v>
      </c>
      <c r="X14">
        <f t="shared" ca="1" si="4"/>
        <v>8.4048008553322631E-2</v>
      </c>
      <c r="Z14" s="17">
        <f t="shared" ca="1" si="5"/>
        <v>46213</v>
      </c>
      <c r="AG14" s="33">
        <f t="shared" ca="1" si="6"/>
        <v>8.9264364422957862E-2</v>
      </c>
      <c r="AH14">
        <f t="shared" ca="1" si="7"/>
        <v>9.2377381375085069E-2</v>
      </c>
      <c r="AI14">
        <f t="shared" ca="1" si="8"/>
        <v>9.2959913400685462E-2</v>
      </c>
      <c r="AJ14">
        <f t="shared" ca="1" si="9"/>
        <v>9.3387154100323264E-2</v>
      </c>
      <c r="AK14">
        <f t="shared" ca="1" si="10"/>
        <v>9.3841194819865123E-2</v>
      </c>
    </row>
    <row r="15" spans="1:37" ht="17.25" customHeight="1">
      <c r="A15" s="68"/>
      <c r="B15" s="69" t="s">
        <v>57</v>
      </c>
      <c r="C15" s="28" t="s">
        <v>35</v>
      </c>
      <c r="D15" s="28" t="s">
        <v>27</v>
      </c>
      <c r="E15" s="28" t="s">
        <v>44</v>
      </c>
      <c r="F15" s="28" t="s">
        <v>46</v>
      </c>
      <c r="G15" s="28" t="s">
        <v>38</v>
      </c>
      <c r="H15" s="23" t="str">
        <f>HYPERLINK("https://innovativeincomeinvestor.com/security/ag-mortgage-investment-trust-8-00-series-c-fixed-to-floating-rate-cumulative-redeemable-preferred-stock/","MITT-C")</f>
        <v>MITT-C</v>
      </c>
      <c r="I15" s="47">
        <v>0.08</v>
      </c>
      <c r="J15" s="65">
        <f ca="1">IFERROR(__xludf.DUMMYFUNCTION("GoogleFinance(H15)"),25.05)</f>
        <v>25.05</v>
      </c>
      <c r="K15" s="67">
        <f ca="1">IFERROR(__xludf.DUMMYFUNCTION("googlefinance(H15,""change"")"),0.11)</f>
        <v>0.11</v>
      </c>
      <c r="L15" s="52" t="s">
        <v>47</v>
      </c>
      <c r="M15" s="52" t="s">
        <v>47</v>
      </c>
      <c r="N15" s="28" t="s">
        <v>31</v>
      </c>
      <c r="O15" s="28" t="s">
        <v>32</v>
      </c>
      <c r="P15" s="28" t="s">
        <v>32</v>
      </c>
      <c r="Q15" s="52" t="s">
        <v>47</v>
      </c>
      <c r="R15" s="64">
        <v>45552</v>
      </c>
      <c r="S15" s="54" t="s">
        <v>41</v>
      </c>
      <c r="T15" s="62" t="s">
        <v>58</v>
      </c>
      <c r="U15" s="16">
        <f t="shared" ca="1" si="2"/>
        <v>-0.81095890410958904</v>
      </c>
      <c r="V15" s="11" t="str">
        <v>All</v>
      </c>
      <c r="X15">
        <f t="shared" ca="1" si="4"/>
        <v>7.7901683879502456E-2</v>
      </c>
      <c r="Z15" s="17">
        <f t="shared" ca="1" si="5"/>
        <v>46213</v>
      </c>
      <c r="AG15" s="33">
        <f t="shared" ca="1" si="6"/>
        <v>7.8909204682346426E-2</v>
      </c>
      <c r="AH15">
        <f t="shared" ca="1" si="7"/>
        <v>7.9510575116852181E-2</v>
      </c>
      <c r="AI15">
        <f t="shared" ca="1" si="8"/>
        <v>7.9623515352878982E-2</v>
      </c>
      <c r="AJ15">
        <f t="shared" ca="1" si="9"/>
        <v>7.9707198349197594E-2</v>
      </c>
      <c r="AK15">
        <f t="shared" ca="1" si="10"/>
        <v>7.9797920886753096E-2</v>
      </c>
    </row>
    <row r="16" spans="1:37" ht="17.25" customHeight="1">
      <c r="A16" s="19"/>
      <c r="B16" s="45" t="s">
        <v>59</v>
      </c>
      <c r="C16" s="28" t="s">
        <v>35</v>
      </c>
      <c r="D16" s="28" t="s">
        <v>27</v>
      </c>
      <c r="E16" s="28" t="s">
        <v>44</v>
      </c>
      <c r="F16" s="28" t="s">
        <v>46</v>
      </c>
      <c r="G16" s="28" t="s">
        <v>38</v>
      </c>
      <c r="H16" s="66" t="str">
        <f>HYPERLINK("https://innovativeincomeinvestor.com/security/agnc/","AGNCN")</f>
        <v>AGNCN</v>
      </c>
      <c r="I16" s="47">
        <v>7.0000000000000007E-2</v>
      </c>
      <c r="J16" s="65">
        <f ca="1">IFERROR(__xludf.DUMMYFUNCTION("GoogleFinance(H16)"),25.24)</f>
        <v>25.24</v>
      </c>
      <c r="K16" s="67">
        <f ca="1">IFERROR(__xludf.DUMMYFUNCTION("googlefinance(H16,""change"")"),-0.06)</f>
        <v>-0.06</v>
      </c>
      <c r="L16" s="52" t="s">
        <v>47</v>
      </c>
      <c r="M16" s="52" t="s">
        <v>47</v>
      </c>
      <c r="N16" s="28" t="s">
        <v>31</v>
      </c>
      <c r="O16" s="28" t="s">
        <v>32</v>
      </c>
      <c r="P16" s="28" t="s">
        <v>32</v>
      </c>
      <c r="Q16" s="52" t="s">
        <v>47</v>
      </c>
      <c r="R16" s="64">
        <v>44849</v>
      </c>
      <c r="S16" s="54" t="s">
        <v>41</v>
      </c>
      <c r="T16" s="62" t="s">
        <v>60</v>
      </c>
      <c r="U16" s="16">
        <f t="shared" ca="1" si="2"/>
        <v>-2.7369863013698632</v>
      </c>
      <c r="V16" s="11" t="str">
        <v>All</v>
      </c>
      <c r="X16">
        <f t="shared" ca="1" si="4"/>
        <v>6.0037094349934012E-2</v>
      </c>
      <c r="Z16" s="17">
        <f t="shared" ca="1" si="5"/>
        <v>46213</v>
      </c>
      <c r="AG16" s="33">
        <f t="shared" ca="1" si="6"/>
        <v>6.4843278911952767E-2</v>
      </c>
      <c r="AH16">
        <f t="shared" ca="1" si="7"/>
        <v>6.7719136534770755E-2</v>
      </c>
      <c r="AI16">
        <f t="shared" ca="1" si="8"/>
        <v>6.8261808988126824E-2</v>
      </c>
      <c r="AJ16">
        <f t="shared" ca="1" si="9"/>
        <v>6.8664116840525216E-2</v>
      </c>
      <c r="AK16">
        <f t="shared" ca="1" si="10"/>
        <v>6.9109628208138443E-2</v>
      </c>
    </row>
    <row r="17" spans="1:37" ht="17.25" customHeight="1">
      <c r="A17" s="68"/>
      <c r="B17" s="69" t="s">
        <v>59</v>
      </c>
      <c r="C17" s="28" t="s">
        <v>35</v>
      </c>
      <c r="D17" s="28" t="s">
        <v>27</v>
      </c>
      <c r="E17" s="28" t="s">
        <v>44</v>
      </c>
      <c r="F17" s="28" t="s">
        <v>46</v>
      </c>
      <c r="G17" s="28" t="s">
        <v>38</v>
      </c>
      <c r="H17" s="66" t="str">
        <f>HYPERLINK("https://innovativeincomeinvestor.com/security/agnc-2/","AGNCM")</f>
        <v>AGNCM</v>
      </c>
      <c r="I17" s="47">
        <v>6.8750000000000006E-2</v>
      </c>
      <c r="J17" s="65">
        <f ca="1">IFERROR(__xludf.DUMMYFUNCTION("GoogleFinance(H17)"),24.61)</f>
        <v>24.61</v>
      </c>
      <c r="K17" s="67">
        <f ca="1">IFERROR(__xludf.DUMMYFUNCTION("googlefinance(H17,""change"")"),-0.03)</f>
        <v>-0.03</v>
      </c>
      <c r="L17" s="52" t="s">
        <v>47</v>
      </c>
      <c r="M17" s="52" t="s">
        <v>47</v>
      </c>
      <c r="N17" s="28" t="s">
        <v>31</v>
      </c>
      <c r="O17" s="28" t="s">
        <v>32</v>
      </c>
      <c r="P17" s="28" t="s">
        <v>32</v>
      </c>
      <c r="Q17" s="52" t="s">
        <v>47</v>
      </c>
      <c r="R17" s="64">
        <v>45397</v>
      </c>
      <c r="S17" s="54" t="s">
        <v>41</v>
      </c>
      <c r="T17" s="62" t="s">
        <v>60</v>
      </c>
      <c r="U17" s="16">
        <f t="shared" ca="1" si="2"/>
        <v>-1.2356164383561643</v>
      </c>
      <c r="V17" s="11" t="str">
        <v>All</v>
      </c>
      <c r="X17">
        <f t="shared" ca="1" si="4"/>
        <v>8.5189346905556476E-2</v>
      </c>
      <c r="Z17" s="17">
        <f t="shared" ca="1" si="5"/>
        <v>46213</v>
      </c>
      <c r="AG17" s="33">
        <f t="shared" ca="1" si="6"/>
        <v>7.7242925543227675E-2</v>
      </c>
      <c r="AH17">
        <f t="shared" ca="1" si="7"/>
        <v>7.2498791193282217E-2</v>
      </c>
      <c r="AI17">
        <f t="shared" ca="1" si="8"/>
        <v>7.1604172278955935E-2</v>
      </c>
      <c r="AJ17">
        <f t="shared" ca="1" si="9"/>
        <v>7.0941843144362346E-2</v>
      </c>
      <c r="AK17">
        <f t="shared" ca="1" si="10"/>
        <v>7.0207299308869958E-2</v>
      </c>
    </row>
    <row r="18" spans="1:37" ht="17.25" customHeight="1">
      <c r="A18" s="68"/>
      <c r="B18" s="69" t="s">
        <v>59</v>
      </c>
      <c r="C18" s="28" t="s">
        <v>35</v>
      </c>
      <c r="D18" s="28" t="s">
        <v>27</v>
      </c>
      <c r="E18" s="28" t="s">
        <v>44</v>
      </c>
      <c r="F18" s="28" t="s">
        <v>46</v>
      </c>
      <c r="G18" s="28" t="s">
        <v>38</v>
      </c>
      <c r="H18" s="46" t="str">
        <f>HYPERLINK("https://innovativeincomeinvestor.com/security/agnc-investment-corpoartion-6-50-series-e-fixed-to-floating-rate-cumulative-redeemable-preferred-stock/","AGNCO")</f>
        <v>AGNCO</v>
      </c>
      <c r="I18" s="47">
        <v>6.5000000000000002E-2</v>
      </c>
      <c r="J18" s="65">
        <f ca="1">IFERROR(__xludf.DUMMYFUNCTION("GoogleFinance(H18)"),25.14)</f>
        <v>25.14</v>
      </c>
      <c r="K18" s="65">
        <f ca="1">IFERROR(__xludf.DUMMYFUNCTION("googlefinance(H18,""change"")"),-0.02)</f>
        <v>-0.02</v>
      </c>
      <c r="L18" s="52" t="s">
        <v>47</v>
      </c>
      <c r="M18" s="27" t="e">
        <f t="shared" ref="M18:M21" ca="1" si="17">L18*U18+(25-J18)/25/U18</f>
        <v>#VALUE!</v>
      </c>
      <c r="N18" s="28" t="s">
        <v>31</v>
      </c>
      <c r="O18" s="28" t="s">
        <v>32</v>
      </c>
      <c r="P18" s="28" t="s">
        <v>32</v>
      </c>
      <c r="Q18" s="52" t="s">
        <v>47</v>
      </c>
      <c r="R18" s="64">
        <v>45580</v>
      </c>
      <c r="S18" s="54" t="s">
        <v>41</v>
      </c>
      <c r="T18" s="62" t="s">
        <v>60</v>
      </c>
      <c r="U18" s="16">
        <f t="shared" ca="1" si="2"/>
        <v>-0.73424657534246573</v>
      </c>
      <c r="V18" s="11" t="str">
        <v>All</v>
      </c>
      <c r="X18">
        <f t="shared" ca="1" si="4"/>
        <v>5.9191308912608528E-2</v>
      </c>
      <c r="Z18" s="17">
        <f t="shared" ca="1" si="5"/>
        <v>46213</v>
      </c>
      <c r="AG18" s="33">
        <f t="shared" ca="1" si="6"/>
        <v>6.2001192423422287E-2</v>
      </c>
      <c r="AH18">
        <f t="shared" ca="1" si="7"/>
        <v>6.3682471238960481E-2</v>
      </c>
      <c r="AI18">
        <f t="shared" ca="1" si="8"/>
        <v>6.4000056952065634E-2</v>
      </c>
      <c r="AJ18">
        <f t="shared" ca="1" si="9"/>
        <v>6.423599384847567E-2</v>
      </c>
      <c r="AK18">
        <f t="shared" ca="1" si="10"/>
        <v>6.4498866206024533E-2</v>
      </c>
    </row>
    <row r="19" spans="1:37" ht="17.25" customHeight="1">
      <c r="A19" s="68"/>
      <c r="B19" s="69" t="s">
        <v>59</v>
      </c>
      <c r="C19" s="28" t="s">
        <v>35</v>
      </c>
      <c r="D19" s="28" t="s">
        <v>27</v>
      </c>
      <c r="E19" s="28" t="s">
        <v>44</v>
      </c>
      <c r="F19" s="28" t="s">
        <v>46</v>
      </c>
      <c r="G19" s="28" t="s">
        <v>38</v>
      </c>
      <c r="H19" s="55" t="str">
        <f>HYPERLINK("https://innovativeincomeinvestor.com/security/agnc-investment-corp-6-125-series-f-fixed-to-floating-rate-cumulative-redeemable-preferred-stock/","AGNCP")</f>
        <v>AGNCP</v>
      </c>
      <c r="I19" s="47">
        <v>6.1249999999999999E-2</v>
      </c>
      <c r="J19" s="65">
        <f ca="1">IFERROR(__xludf.DUMMYFUNCTION("GoogleFinance(H19)"),24.84)</f>
        <v>24.84</v>
      </c>
      <c r="K19" s="65">
        <f ca="1">IFERROR(__xludf.DUMMYFUNCTION("googlefinance(H19,""change"")"),-0.05)</f>
        <v>-0.05</v>
      </c>
      <c r="L19" s="52" t="s">
        <v>47</v>
      </c>
      <c r="M19" s="27" t="e">
        <f t="shared" ca="1" si="17"/>
        <v>#VALUE!</v>
      </c>
      <c r="N19" s="28" t="s">
        <v>31</v>
      </c>
      <c r="O19" s="28" t="s">
        <v>32</v>
      </c>
      <c r="P19" s="28" t="s">
        <v>32</v>
      </c>
      <c r="Q19" s="52" t="s">
        <v>47</v>
      </c>
      <c r="R19" s="64">
        <v>45762</v>
      </c>
      <c r="S19" s="54" t="s">
        <v>41</v>
      </c>
      <c r="T19" s="62" t="s">
        <v>60</v>
      </c>
      <c r="U19" s="16">
        <f t="shared" ca="1" si="2"/>
        <v>-0.23561643835616439</v>
      </c>
      <c r="V19" s="11" t="str">
        <v>All</v>
      </c>
      <c r="X19">
        <f t="shared" ca="1" si="4"/>
        <v>6.7923983215643427E-2</v>
      </c>
      <c r="Z19" s="17">
        <f t="shared" ca="1" si="5"/>
        <v>46213</v>
      </c>
      <c r="AG19" s="33">
        <f t="shared" ca="1" si="6"/>
        <v>6.4687231329597805E-2</v>
      </c>
      <c r="AH19">
        <f t="shared" ca="1" si="7"/>
        <v>6.2751626606104699E-2</v>
      </c>
      <c r="AI19">
        <f t="shared" ca="1" si="8"/>
        <v>6.2385668821629055E-2</v>
      </c>
      <c r="AJ19">
        <f t="shared" ca="1" si="9"/>
        <v>6.2114013768543537E-2</v>
      </c>
      <c r="AK19">
        <f t="shared" ca="1" si="10"/>
        <v>6.1809376404961543E-2</v>
      </c>
    </row>
    <row r="20" spans="1:37" ht="17.25" customHeight="1">
      <c r="A20" s="68"/>
      <c r="B20" s="69" t="s">
        <v>59</v>
      </c>
      <c r="C20" s="28" t="s">
        <v>35</v>
      </c>
      <c r="D20" s="28" t="s">
        <v>27</v>
      </c>
      <c r="E20" s="28" t="s">
        <v>44</v>
      </c>
      <c r="F20" s="28" t="s">
        <v>61</v>
      </c>
      <c r="G20" s="28" t="s">
        <v>38</v>
      </c>
      <c r="H20" s="23" t="str">
        <f>HYPERLINK("https://innovativeincomeinvestor.com/security/agnc-investment-corp-7-75-series-g-fixed-rate-reset-cumulative-redeemable-preferred-stock/","AGNCL")</f>
        <v>AGNCL</v>
      </c>
      <c r="I20" s="47">
        <v>7.7499999999999999E-2</v>
      </c>
      <c r="J20" s="65">
        <f ca="1">IFERROR(__xludf.DUMMYFUNCTION("GoogleFinance(H20)"),24.66)</f>
        <v>24.66</v>
      </c>
      <c r="K20" s="65">
        <f ca="1">IFERROR(__xludf.DUMMYFUNCTION("googlefinance(H20,""change"")"),0)</f>
        <v>0</v>
      </c>
      <c r="L20" s="27">
        <f ca="1">(Q20*4)/J20</f>
        <v>7.8568532035685326E-2</v>
      </c>
      <c r="M20" s="27">
        <f t="shared" ca="1" si="17"/>
        <v>0.18401933890985481</v>
      </c>
      <c r="N20" s="28" t="s">
        <v>31</v>
      </c>
      <c r="O20" s="28" t="s">
        <v>32</v>
      </c>
      <c r="P20" s="28" t="s">
        <v>32</v>
      </c>
      <c r="Q20" s="29">
        <f>(I20*25)/4</f>
        <v>0.484375</v>
      </c>
      <c r="R20" s="64">
        <v>46675</v>
      </c>
      <c r="S20" s="54" t="s">
        <v>41</v>
      </c>
      <c r="T20" s="62" t="s">
        <v>60</v>
      </c>
      <c r="U20" s="16">
        <f t="shared" ca="1" si="2"/>
        <v>2.2657534246575342</v>
      </c>
      <c r="V20" s="11" t="str">
        <v>All</v>
      </c>
      <c r="X20">
        <f t="shared" ca="1" si="4"/>
        <v>9.1889933132972113E-2</v>
      </c>
      <c r="Z20" s="17">
        <f t="shared" ca="1" si="5"/>
        <v>46213</v>
      </c>
      <c r="AG20" s="33">
        <f t="shared" ca="1" si="6"/>
        <v>8.4965920835280567E-2</v>
      </c>
      <c r="AH20">
        <f t="shared" ca="1" si="7"/>
        <v>8.0834614638811336E-2</v>
      </c>
      <c r="AI20">
        <f t="shared" ca="1" si="8"/>
        <v>8.0057450863372598E-2</v>
      </c>
      <c r="AJ20">
        <f t="shared" ca="1" si="9"/>
        <v>7.9484261376355309E-2</v>
      </c>
      <c r="AK20">
        <f t="shared" ca="1" si="10"/>
        <v>7.8856523047675431E-2</v>
      </c>
    </row>
    <row r="21" spans="1:37" ht="17.25" customHeight="1">
      <c r="A21" s="68"/>
      <c r="B21" s="70" t="s">
        <v>62</v>
      </c>
      <c r="C21" s="71" t="s">
        <v>35</v>
      </c>
      <c r="D21" s="71" t="s">
        <v>27</v>
      </c>
      <c r="E21" s="71" t="s">
        <v>63</v>
      </c>
      <c r="F21" s="71" t="s">
        <v>29</v>
      </c>
      <c r="G21" s="71" t="s">
        <v>38</v>
      </c>
      <c r="H21" s="72" t="str">
        <f>HYPERLINK("https://innovativeincomeinvestor.com/security/agree-realty-corporation-4-25-series-a-cumulative-redeemable-preferred-stock/","ADC-A")</f>
        <v>ADC-A</v>
      </c>
      <c r="I21" s="73">
        <v>4.2500000000000003E-2</v>
      </c>
      <c r="J21" s="74">
        <f ca="1">IFERROR(__xludf.DUMMYFUNCTION("GoogleFinance(H21)"),17.09)</f>
        <v>17.09</v>
      </c>
      <c r="K21" s="74">
        <f ca="1">IFERROR(__xludf.DUMMYFUNCTION("googlefinance(H21,""change"")"),-0.19)</f>
        <v>-0.19</v>
      </c>
      <c r="L21" s="75">
        <f ca="1">(Q21*12)/J21</f>
        <v>6.217086015213575E-2</v>
      </c>
      <c r="M21" s="75">
        <f t="shared" ca="1" si="17"/>
        <v>0.34002048188129336</v>
      </c>
      <c r="N21" s="71" t="s">
        <v>39</v>
      </c>
      <c r="O21" s="71" t="s">
        <v>32</v>
      </c>
      <c r="P21" s="71" t="s">
        <v>64</v>
      </c>
      <c r="Q21" s="76">
        <f>(I21*25)/12</f>
        <v>8.8541666666666671E-2</v>
      </c>
      <c r="R21" s="77">
        <v>46282</v>
      </c>
      <c r="S21" s="74" t="s">
        <v>41</v>
      </c>
      <c r="T21" s="78" t="s">
        <v>65</v>
      </c>
      <c r="U21" s="16">
        <f t="shared" ca="1" si="2"/>
        <v>1.189041095890411</v>
      </c>
      <c r="V21" s="11" t="str">
        <v>All</v>
      </c>
      <c r="X21">
        <f t="shared" ca="1" si="4"/>
        <v>0.45334593920294791</v>
      </c>
      <c r="Z21" s="17">
        <f t="shared" ca="1" si="5"/>
        <v>46213</v>
      </c>
      <c r="AG21" s="33">
        <f t="shared" ca="1" si="6"/>
        <v>0.24790383247145462</v>
      </c>
      <c r="AH21">
        <f t="shared" ca="1" si="7"/>
        <v>0.12947642262201814</v>
      </c>
      <c r="AI21">
        <f t="shared" ca="1" si="8"/>
        <v>0.10741350122615366</v>
      </c>
      <c r="AJ21">
        <f t="shared" ca="1" si="9"/>
        <v>9.105223637126432E-2</v>
      </c>
      <c r="AK21">
        <f t="shared" ca="1" si="10"/>
        <v>7.2627643584133025E-2</v>
      </c>
    </row>
    <row r="22" spans="1:37" ht="17.25" customHeight="1">
      <c r="A22" s="68"/>
      <c r="B22" s="69" t="s">
        <v>66</v>
      </c>
      <c r="C22" s="28" t="s">
        <v>27</v>
      </c>
      <c r="D22" s="28" t="s">
        <v>35</v>
      </c>
      <c r="E22" s="28" t="s">
        <v>67</v>
      </c>
      <c r="F22" s="28" t="s">
        <v>46</v>
      </c>
      <c r="G22" s="28" t="s">
        <v>38</v>
      </c>
      <c r="H22" s="63" t="str">
        <f>HYPERLINK("https://innovativeincomeinvestor.com/security/air-lease-corporation-6-15-fixed-to-floating-rate-non-cumulative-perpetual-preferred-stock-series-a/","AL-A")</f>
        <v>AL-A</v>
      </c>
      <c r="I22" s="47">
        <v>6.1499999999999999E-2</v>
      </c>
      <c r="J22" s="79" t="s">
        <v>68</v>
      </c>
      <c r="K22" s="80" t="s">
        <v>68</v>
      </c>
      <c r="L22" s="81" t="s">
        <v>68</v>
      </c>
      <c r="M22" s="81" t="s">
        <v>68</v>
      </c>
      <c r="N22" s="28" t="s">
        <v>31</v>
      </c>
      <c r="O22" s="28" t="s">
        <v>69</v>
      </c>
      <c r="P22" s="28" t="s">
        <v>32</v>
      </c>
      <c r="Q22" s="29">
        <v>0.38</v>
      </c>
      <c r="R22" s="64">
        <v>45366</v>
      </c>
      <c r="S22" s="54" t="s">
        <v>41</v>
      </c>
      <c r="T22" s="62" t="s">
        <v>52</v>
      </c>
      <c r="U22" s="16">
        <f t="shared" ca="1" si="2"/>
        <v>-1.3205479452054794</v>
      </c>
      <c r="V22" s="11" t="str">
        <v>All</v>
      </c>
      <c r="X22" t="e">
        <f t="shared" ca="1" si="4"/>
        <v>#VALUE!</v>
      </c>
      <c r="Z22" s="17">
        <f t="shared" ca="1" si="5"/>
        <v>46213</v>
      </c>
      <c r="AG22" s="33" t="e">
        <f t="shared" ca="1" si="6"/>
        <v>#VALUE!</v>
      </c>
      <c r="AH22" t="e">
        <f t="shared" ca="1" si="7"/>
        <v>#VALUE!</v>
      </c>
      <c r="AI22" t="e">
        <f t="shared" ca="1" si="8"/>
        <v>#VALUE!</v>
      </c>
      <c r="AJ22" t="e">
        <f t="shared" ca="1" si="9"/>
        <v>#VALUE!</v>
      </c>
      <c r="AK22" t="e">
        <f t="shared" ca="1" si="10"/>
        <v>#VALUE!</v>
      </c>
    </row>
    <row r="23" spans="1:37" ht="17.25" customHeight="1">
      <c r="A23" s="68"/>
      <c r="B23" s="69" t="s">
        <v>70</v>
      </c>
      <c r="C23" s="28" t="s">
        <v>35</v>
      </c>
      <c r="D23" s="28" t="s">
        <v>27</v>
      </c>
      <c r="E23" s="28" t="s">
        <v>67</v>
      </c>
      <c r="F23" s="28" t="s">
        <v>29</v>
      </c>
      <c r="G23" s="28" t="s">
        <v>71</v>
      </c>
      <c r="H23" s="51" t="str">
        <f>HYPERLINK("https://innovativeincomeinvestor.com/security/air-t-funding-8-00-alpha-income-trust-preferred-securities-due-6-7-2049/","AIRTP")</f>
        <v>AIRTP</v>
      </c>
      <c r="I23" s="47">
        <v>0.08</v>
      </c>
      <c r="J23" s="65">
        <f ca="1">IFERROR(__xludf.DUMMYFUNCTION("GoogleFinance(H23)"),17.25)</f>
        <v>17.25</v>
      </c>
      <c r="K23" s="67">
        <f ca="1">IFERROR(__xludf.DUMMYFUNCTION("googlefinance(H23,""change"")"),0.09)</f>
        <v>0.09</v>
      </c>
      <c r="L23" s="27">
        <f ca="1">(Q23*4)/J23</f>
        <v>0.11594202898550725</v>
      </c>
      <c r="M23" s="27">
        <f ca="1">(25-J23)/25</f>
        <v>0.31</v>
      </c>
      <c r="N23" s="28" t="s">
        <v>31</v>
      </c>
      <c r="O23" s="28" t="s">
        <v>32</v>
      </c>
      <c r="P23" s="28" t="s">
        <v>32</v>
      </c>
      <c r="Q23" s="29">
        <v>0.5</v>
      </c>
      <c r="R23" s="64">
        <v>45450</v>
      </c>
      <c r="S23" s="82">
        <v>54581</v>
      </c>
      <c r="T23" s="62" t="s">
        <v>33</v>
      </c>
      <c r="U23" s="16">
        <f t="shared" ca="1" si="2"/>
        <v>-1.0904109589041096</v>
      </c>
      <c r="V23" s="11" t="str">
        <v>All</v>
      </c>
      <c r="X23">
        <f t="shared" ca="1" si="4"/>
        <v>0.49051267340267657</v>
      </c>
      <c r="Z23" s="17">
        <f t="shared" ca="1" si="5"/>
        <v>46213</v>
      </c>
      <c r="AG23" s="33">
        <f t="shared" ca="1" si="6"/>
        <v>0.28959436762045798</v>
      </c>
      <c r="AH23">
        <f t="shared" ca="1" si="7"/>
        <v>0.17415496292793523</v>
      </c>
      <c r="AI23">
        <f t="shared" ca="1" si="8"/>
        <v>0.15294013458647993</v>
      </c>
      <c r="AJ23">
        <f t="shared" ca="1" si="9"/>
        <v>0.13752307165273361</v>
      </c>
      <c r="AK23">
        <f t="shared" ca="1" si="10"/>
        <v>0.12143679469668475</v>
      </c>
    </row>
    <row r="24" spans="1:37" ht="17.25" customHeight="1">
      <c r="A24" s="68"/>
      <c r="B24" s="69" t="s">
        <v>72</v>
      </c>
      <c r="C24" s="28" t="s">
        <v>27</v>
      </c>
      <c r="D24" s="28" t="s">
        <v>27</v>
      </c>
      <c r="E24" s="28" t="s">
        <v>73</v>
      </c>
      <c r="F24" s="28" t="s">
        <v>46</v>
      </c>
      <c r="G24" s="28" t="s">
        <v>30</v>
      </c>
      <c r="H24" s="66" t="str">
        <f>HYPERLINK("https://innovativeincomeinvestor.com/security/algonquin-power-utilities-corp-6-20-fixed-to-floating-rate-subordinated-notes-series-a-due-july-1-2079/","AQNB")</f>
        <v>AQNB</v>
      </c>
      <c r="I24" s="47">
        <v>6.2E-2</v>
      </c>
      <c r="J24" s="65">
        <f ca="1">IFERROR(__xludf.DUMMYFUNCTION("GoogleFinance(H24)"),25.45)</f>
        <v>25.45</v>
      </c>
      <c r="K24" s="67">
        <f ca="1">IFERROR(__xludf.DUMMYFUNCTION("googlefinance(H24,""change"")"),-0.68)</f>
        <v>-0.68</v>
      </c>
      <c r="L24" s="52" t="s">
        <v>47</v>
      </c>
      <c r="M24" s="27" t="e">
        <f t="shared" ref="M24:M25" ca="1" si="18">L24*U24+(25-J24)/25/U24</f>
        <v>#VALUE!</v>
      </c>
      <c r="N24" s="28" t="s">
        <v>31</v>
      </c>
      <c r="O24" s="28" t="s">
        <v>69</v>
      </c>
      <c r="P24" s="28" t="s">
        <v>32</v>
      </c>
      <c r="Q24" s="52" t="s">
        <v>47</v>
      </c>
      <c r="R24" s="64">
        <v>45474</v>
      </c>
      <c r="S24" s="82">
        <v>65562</v>
      </c>
      <c r="T24" s="62" t="s">
        <v>74</v>
      </c>
      <c r="U24" s="16">
        <f t="shared" ca="1" si="2"/>
        <v>-1.0246575342465754</v>
      </c>
      <c r="V24" s="11" t="str">
        <v>All</v>
      </c>
      <c r="X24">
        <f t="shared" ca="1" si="4"/>
        <v>4.3507888770138531E-2</v>
      </c>
      <c r="Z24" s="17">
        <f t="shared" ca="1" si="5"/>
        <v>46213</v>
      </c>
      <c r="AG24" s="33">
        <f t="shared" ca="1" si="6"/>
        <v>5.2460761718617549E-2</v>
      </c>
      <c r="AH24">
        <f t="shared" ca="1" si="7"/>
        <v>5.7826452242227704E-2</v>
      </c>
      <c r="AI24">
        <f t="shared" ca="1" si="8"/>
        <v>5.8841679871410903E-2</v>
      </c>
      <c r="AJ24">
        <f t="shared" ca="1" si="9"/>
        <v>5.9596368671394152E-2</v>
      </c>
      <c r="AK24">
        <f t="shared" ca="1" si="10"/>
        <v>6.0441900390127125E-2</v>
      </c>
    </row>
    <row r="25" spans="1:37" ht="17.25" customHeight="1">
      <c r="A25" s="19"/>
      <c r="B25" s="45" t="s">
        <v>75</v>
      </c>
      <c r="C25" s="36" t="s">
        <v>27</v>
      </c>
      <c r="D25" s="36" t="s">
        <v>35</v>
      </c>
      <c r="E25" s="36" t="s">
        <v>28</v>
      </c>
      <c r="F25" s="36" t="s">
        <v>29</v>
      </c>
      <c r="G25" s="28" t="s">
        <v>38</v>
      </c>
      <c r="H25" s="66" t="str">
        <f>HYPERLINK("https://innovativeincomeinvestor.com/security/allstate-corporataion-5-10-fixed-rate-noncumulative-perpetual-preferred-stock-series-h/","ALL-H")</f>
        <v>ALL-H</v>
      </c>
      <c r="I25" s="47">
        <v>5.0999999999999997E-2</v>
      </c>
      <c r="J25" s="65">
        <f ca="1">IFERROR(__xludf.DUMMYFUNCTION("GoogleFinance(H25)"),21.02)</f>
        <v>21.02</v>
      </c>
      <c r="K25" s="48">
        <f ca="1">IFERROR(__xludf.DUMMYFUNCTION("googlefinance(H25,""change"")"),-0.13)</f>
        <v>-0.13</v>
      </c>
      <c r="L25" s="27">
        <f t="shared" ref="L25:L27" ca="1" si="19">(Q25*4)/J25</f>
        <v>6.0656517602283536E-2</v>
      </c>
      <c r="M25" s="27">
        <f t="shared" ca="1" si="18"/>
        <v>-0.23129401775233188</v>
      </c>
      <c r="N25" s="28" t="s">
        <v>39</v>
      </c>
      <c r="O25" s="28" t="s">
        <v>50</v>
      </c>
      <c r="P25" s="28" t="s">
        <v>76</v>
      </c>
      <c r="Q25" s="29">
        <f t="shared" ref="Q25:Q26" si="20">(I25*25)/4</f>
        <v>0.31874999999999998</v>
      </c>
      <c r="R25" s="64">
        <v>45519</v>
      </c>
      <c r="S25" s="54" t="s">
        <v>41</v>
      </c>
      <c r="T25" s="50" t="s">
        <v>60</v>
      </c>
      <c r="U25" s="16">
        <f t="shared" ca="1" si="2"/>
        <v>-0.90136986301369859</v>
      </c>
      <c r="V25" s="11" t="str">
        <v>All</v>
      </c>
      <c r="X25">
        <f t="shared" ca="1" si="4"/>
        <v>0.23416118187731008</v>
      </c>
      <c r="Z25" s="17">
        <f t="shared" ca="1" si="5"/>
        <v>46213</v>
      </c>
      <c r="AG25" s="33">
        <f t="shared" ca="1" si="6"/>
        <v>0.14402940598452818</v>
      </c>
      <c r="AH25">
        <f t="shared" ca="1" si="7"/>
        <v>9.100326730060336E-2</v>
      </c>
      <c r="AI25">
        <f t="shared" ca="1" si="8"/>
        <v>8.1041286943561094E-2</v>
      </c>
      <c r="AJ25">
        <f t="shared" ca="1" si="9"/>
        <v>7.3642968712789011E-2</v>
      </c>
      <c r="AK25">
        <f t="shared" ca="1" si="10"/>
        <v>6.5321571388533381E-2</v>
      </c>
    </row>
    <row r="26" spans="1:37" ht="17.25" customHeight="1">
      <c r="A26" s="19"/>
      <c r="B26" s="45" t="s">
        <v>75</v>
      </c>
      <c r="C26" s="36" t="s">
        <v>27</v>
      </c>
      <c r="D26" s="36" t="s">
        <v>35</v>
      </c>
      <c r="E26" s="36" t="s">
        <v>28</v>
      </c>
      <c r="F26" s="28" t="s">
        <v>29</v>
      </c>
      <c r="G26" s="28" t="s">
        <v>38</v>
      </c>
      <c r="H26" s="83" t="str">
        <f>HYPERLINK("https://innovativeincomeinvestor.com/security/allstate-corporation-4-75-fixed-rate-noncumulative-perpetual-preferred-stock-series-i/","ALL-I")</f>
        <v>ALL-I</v>
      </c>
      <c r="I26" s="47">
        <v>4.7500000000000001E-2</v>
      </c>
      <c r="J26" s="65">
        <f ca="1">IFERROR(__xludf.DUMMYFUNCTION("GoogleFinance(H26)"),19.41)</f>
        <v>19.41</v>
      </c>
      <c r="K26" s="48">
        <f ca="1">IFERROR(__xludf.DUMMYFUNCTION("googlefinance(H26,""change"")"),-0.08)</f>
        <v>-0.08</v>
      </c>
      <c r="L26" s="27">
        <f t="shared" ca="1" si="19"/>
        <v>6.1179804224626481E-2</v>
      </c>
      <c r="M26" s="27">
        <f ca="1">(25-J26)/25</f>
        <v>0.22359999999999999</v>
      </c>
      <c r="N26" s="28" t="s">
        <v>39</v>
      </c>
      <c r="O26" s="28" t="s">
        <v>50</v>
      </c>
      <c r="P26" s="28" t="s">
        <v>76</v>
      </c>
      <c r="Q26" s="29">
        <f t="shared" si="20"/>
        <v>0.296875</v>
      </c>
      <c r="R26" s="64">
        <v>45672</v>
      </c>
      <c r="S26" s="54" t="s">
        <v>41</v>
      </c>
      <c r="T26" s="50" t="s">
        <v>60</v>
      </c>
      <c r="U26" s="16">
        <f t="shared" ca="1" si="2"/>
        <v>-0.48219178082191783</v>
      </c>
      <c r="V26" s="11" t="str">
        <v>All</v>
      </c>
      <c r="X26">
        <f t="shared" ca="1" si="4"/>
        <v>0.31710272793298216</v>
      </c>
      <c r="Z26" s="17">
        <f t="shared" ca="1" si="5"/>
        <v>46213</v>
      </c>
      <c r="AG26" s="33">
        <f t="shared" ca="1" si="6"/>
        <v>0.18359850453580928</v>
      </c>
      <c r="AH26">
        <f t="shared" ca="1" si="7"/>
        <v>0.1056681481452818</v>
      </c>
      <c r="AI26">
        <f t="shared" ca="1" si="8"/>
        <v>9.1074231461615085E-2</v>
      </c>
      <c r="AJ26">
        <f t="shared" ca="1" si="9"/>
        <v>8.0241651504771708E-2</v>
      </c>
      <c r="AK26">
        <f t="shared" ca="1" si="10"/>
        <v>6.8050630160502446E-2</v>
      </c>
    </row>
    <row r="27" spans="1:37" ht="17.25" customHeight="1">
      <c r="A27" s="19"/>
      <c r="B27" s="45" t="s">
        <v>75</v>
      </c>
      <c r="C27" s="36" t="s">
        <v>27</v>
      </c>
      <c r="D27" s="36" t="s">
        <v>35</v>
      </c>
      <c r="E27" s="36" t="s">
        <v>28</v>
      </c>
      <c r="F27" s="28" t="s">
        <v>29</v>
      </c>
      <c r="G27" s="28" t="s">
        <v>38</v>
      </c>
      <c r="H27" s="23" t="str">
        <f>HYPERLINK("https://innovativeincomeinvestor.com/security/allstate-corporation-7-375-fixed-rate-noncumulative-perpetual-preferred-stock-series-j/","ALL-J")</f>
        <v>ALL-J</v>
      </c>
      <c r="I27" s="47">
        <v>7.3749999999999996E-2</v>
      </c>
      <c r="J27" s="65">
        <f ca="1">IFERROR(__xludf.DUMMYFUNCTION("GoogleFinance(H27)"),26.64)</f>
        <v>26.64</v>
      </c>
      <c r="K27" s="48">
        <f ca="1">IFERROR(__xludf.DUMMYFUNCTION("googlefinance(H27,""change"")"),-0.06)</f>
        <v>-0.06</v>
      </c>
      <c r="L27" s="27">
        <f t="shared" ca="1" si="19"/>
        <v>6.9219219219219225E-2</v>
      </c>
      <c r="M27" s="27">
        <f t="array" aca="1" ref="M27" ca="1">L27*U27+(25-J27)/25/U27</f>
        <v>0.1870480055659407</v>
      </c>
      <c r="N27" s="28" t="s">
        <v>39</v>
      </c>
      <c r="O27" s="28" t="s">
        <v>50</v>
      </c>
      <c r="P27" s="28" t="s">
        <v>76</v>
      </c>
      <c r="Q27" s="29">
        <v>0.46100000000000002</v>
      </c>
      <c r="R27" s="64">
        <v>46949</v>
      </c>
      <c r="S27" s="54" t="s">
        <v>41</v>
      </c>
      <c r="T27" s="50" t="s">
        <v>60</v>
      </c>
      <c r="U27" s="16">
        <f t="shared" ca="1" si="2"/>
        <v>3.0164383561643837</v>
      </c>
      <c r="V27" s="11" t="str">
        <v>All</v>
      </c>
      <c r="X27">
        <f t="shared" ca="1" si="4"/>
        <v>7.828709128529841E-3</v>
      </c>
      <c r="Z27" s="17">
        <f t="shared" ca="1" si="5"/>
        <v>46213</v>
      </c>
      <c r="AG27" s="33">
        <f t="shared" ca="1" si="6"/>
        <v>3.9476624212419258E-2</v>
      </c>
      <c r="AH27">
        <f t="shared" ca="1" si="7"/>
        <v>5.8514574897341361E-2</v>
      </c>
      <c r="AI27">
        <f t="shared" ca="1" si="8"/>
        <v>6.2114648440947821E-2</v>
      </c>
      <c r="AJ27">
        <f t="shared" ca="1" si="9"/>
        <v>6.478214386561125E-2</v>
      </c>
      <c r="AK27">
        <f t="shared" ca="1" si="10"/>
        <v>6.7734803619763959E-2</v>
      </c>
    </row>
    <row r="28" spans="1:37" ht="17.25" customHeight="1">
      <c r="A28" s="19"/>
      <c r="B28" s="45" t="s">
        <v>77</v>
      </c>
      <c r="C28" s="36" t="s">
        <v>27</v>
      </c>
      <c r="D28" s="36" t="s">
        <v>27</v>
      </c>
      <c r="E28" s="36" t="s">
        <v>28</v>
      </c>
      <c r="F28" s="28" t="s">
        <v>46</v>
      </c>
      <c r="G28" s="28" t="s">
        <v>30</v>
      </c>
      <c r="H28" s="66" t="str">
        <f>HYPERLINK("https://innovativeincomeinvestor.com/security/allstate-debentures/","ALL-B")</f>
        <v>ALL-B</v>
      </c>
      <c r="I28" s="47">
        <v>5.0999999999999997E-2</v>
      </c>
      <c r="J28" s="54">
        <f ca="1">IFERROR(__xludf.DUMMYFUNCTION("GoogleFinance(H28)"),25.62)</f>
        <v>25.62</v>
      </c>
      <c r="K28" s="26">
        <f ca="1">IFERROR(__xludf.DUMMYFUNCTION("GOOGLEFINANCE(H28,""change"")"),-0.06)</f>
        <v>-0.06</v>
      </c>
      <c r="L28" s="52" t="s">
        <v>47</v>
      </c>
      <c r="M28" s="52" t="s">
        <v>47</v>
      </c>
      <c r="N28" s="28" t="s">
        <v>39</v>
      </c>
      <c r="O28" s="28" t="s">
        <v>50</v>
      </c>
      <c r="P28" s="28" t="s">
        <v>51</v>
      </c>
      <c r="Q28" s="52" t="s">
        <v>47</v>
      </c>
      <c r="R28" s="64">
        <v>44941</v>
      </c>
      <c r="S28" s="64">
        <v>55899</v>
      </c>
      <c r="T28" s="62" t="s">
        <v>60</v>
      </c>
      <c r="U28" s="16">
        <f t="shared" ca="1" si="2"/>
        <v>-2.484931506849315</v>
      </c>
      <c r="V28" s="11" t="str">
        <v>All</v>
      </c>
      <c r="X28">
        <f t="shared" ca="1" si="4"/>
        <v>2.5798832688431857E-2</v>
      </c>
      <c r="Z28" s="17">
        <f t="shared" ca="1" si="5"/>
        <v>46213</v>
      </c>
      <c r="AG28" s="33">
        <f t="shared" ca="1" si="6"/>
        <v>3.806315264133027E-2</v>
      </c>
      <c r="AH28">
        <f t="shared" ca="1" si="7"/>
        <v>4.5424504012349286E-2</v>
      </c>
      <c r="AI28">
        <f t="shared" ca="1" si="8"/>
        <v>4.682131247935551E-2</v>
      </c>
      <c r="AJ28">
        <f t="shared" ca="1" si="9"/>
        <v>4.7863231434110171E-2</v>
      </c>
      <c r="AK28">
        <f t="shared" ca="1" si="10"/>
        <v>4.9045831463865083E-2</v>
      </c>
    </row>
    <row r="29" spans="1:37" ht="17.25" customHeight="1">
      <c r="A29" s="19"/>
      <c r="B29" s="84" t="s">
        <v>78</v>
      </c>
      <c r="C29" s="36" t="s">
        <v>35</v>
      </c>
      <c r="D29" s="36" t="s">
        <v>35</v>
      </c>
      <c r="E29" s="36" t="s">
        <v>67</v>
      </c>
      <c r="F29" s="36" t="s">
        <v>29</v>
      </c>
      <c r="G29" s="28" t="s">
        <v>38</v>
      </c>
      <c r="H29" s="55" t="str">
        <f>HYPERLINK("https://innovativeincomeinvestor.com/security/alta-equipment-group-inc-10-series-a-cumulative-perpetual-preferred/","ALTG-A")</f>
        <v>ALTG-A</v>
      </c>
      <c r="I29" s="85">
        <v>0.1</v>
      </c>
      <c r="J29" s="54">
        <f ca="1">IFERROR(__xludf.DUMMYFUNCTION("GoogleFinance(H29)"),25.6)</f>
        <v>25.6</v>
      </c>
      <c r="K29" s="48">
        <f ca="1">IFERROR(__xludf.DUMMYFUNCTION("googlefinance(H29,""change"")"),0.1)</f>
        <v>0.1</v>
      </c>
      <c r="L29" s="27">
        <f t="shared" ref="L29:L35" ca="1" si="21">(Q29*4)/J29</f>
        <v>9.765625E-2</v>
      </c>
      <c r="M29" s="27">
        <f t="array" aca="1" ref="M29" ca="1">L29*U29+(25-J29)/25/U29</f>
        <v>-8.9449330635119617E-3</v>
      </c>
      <c r="N29" s="28" t="s">
        <v>31</v>
      </c>
      <c r="O29" s="27" t="s">
        <v>32</v>
      </c>
      <c r="P29" s="27" t="s">
        <v>32</v>
      </c>
      <c r="Q29" s="29">
        <v>0.625</v>
      </c>
      <c r="R29" s="64">
        <v>46013</v>
      </c>
      <c r="S29" s="54" t="s">
        <v>41</v>
      </c>
      <c r="T29" s="50" t="s">
        <v>79</v>
      </c>
      <c r="U29" s="16">
        <f t="shared" ca="1" si="2"/>
        <v>0.45205479452054792</v>
      </c>
      <c r="V29" s="11" t="str">
        <v>All</v>
      </c>
      <c r="X29">
        <f t="shared" ca="1" si="4"/>
        <v>7.4866589918777204E-2</v>
      </c>
      <c r="Z29" s="17">
        <f t="shared" ca="1" si="5"/>
        <v>46213</v>
      </c>
      <c r="AG29" s="33">
        <f t="shared" ca="1" si="6"/>
        <v>8.6798881716025539E-2</v>
      </c>
      <c r="AH29">
        <f t="shared" ca="1" si="7"/>
        <v>9.3926400115513356E-2</v>
      </c>
      <c r="AI29">
        <f t="shared" ca="1" si="8"/>
        <v>9.5259087086359731E-2</v>
      </c>
      <c r="AJ29">
        <f t="shared" ca="1" si="9"/>
        <v>9.6233850347137176E-2</v>
      </c>
      <c r="AK29">
        <f t="shared" ca="1" si="10"/>
        <v>9.726318281705193E-2</v>
      </c>
    </row>
    <row r="30" spans="1:37" ht="17.25" customHeight="1">
      <c r="A30" s="19"/>
      <c r="B30" s="45" t="s">
        <v>80</v>
      </c>
      <c r="C30" s="36" t="s">
        <v>27</v>
      </c>
      <c r="D30" s="36" t="s">
        <v>27</v>
      </c>
      <c r="E30" s="36" t="s">
        <v>28</v>
      </c>
      <c r="F30" s="36" t="s">
        <v>29</v>
      </c>
      <c r="G30" s="36" t="s">
        <v>30</v>
      </c>
      <c r="H30" s="63" t="str">
        <f>HYPERLINK("https://innovativeincomeinvestor.com/security/american-financial-group-5-875-subordinated-debentures-due-2059/","AFGB")</f>
        <v>AFGB</v>
      </c>
      <c r="I30" s="47">
        <v>5.8749999999999997E-2</v>
      </c>
      <c r="J30" s="65">
        <f ca="1">IFERROR(__xludf.DUMMYFUNCTION("GoogleFinance(H30)"),21.43)</f>
        <v>21.43</v>
      </c>
      <c r="K30" s="26">
        <f ca="1">IFERROR(__xludf.DUMMYFUNCTION("GOOGLEFINANCE(H30,""change"")"),-0.06)</f>
        <v>-0.06</v>
      </c>
      <c r="L30" s="27">
        <f t="shared" ca="1" si="21"/>
        <v>6.8537097526831542E-2</v>
      </c>
      <c r="M30" s="27">
        <f t="shared" ref="M30:M31" ca="1" si="22">(25-J30)/25</f>
        <v>0.14280000000000001</v>
      </c>
      <c r="N30" s="28" t="s">
        <v>39</v>
      </c>
      <c r="O30" s="28" t="s">
        <v>55</v>
      </c>
      <c r="P30" s="28" t="s">
        <v>76</v>
      </c>
      <c r="Q30" s="29">
        <f t="shared" ref="Q30:Q32" si="23">(I30*25)/4</f>
        <v>0.3671875</v>
      </c>
      <c r="R30" s="64">
        <v>45381</v>
      </c>
      <c r="S30" s="61">
        <v>58164</v>
      </c>
      <c r="T30" s="62" t="s">
        <v>56</v>
      </c>
      <c r="U30" s="16">
        <f t="shared" ca="1" si="2"/>
        <v>-1.2794520547945205</v>
      </c>
      <c r="V30" s="11" t="str">
        <v>All</v>
      </c>
      <c r="X30">
        <f t="shared" ca="1" si="4"/>
        <v>0.22188760194764004</v>
      </c>
      <c r="Z30" s="17">
        <f t="shared" ca="1" si="5"/>
        <v>46213</v>
      </c>
      <c r="AG30" s="33">
        <f t="shared" ca="1" si="6"/>
        <v>0.14202162919116731</v>
      </c>
      <c r="AH30">
        <f t="shared" ca="1" si="7"/>
        <v>9.4972525454751877E-2</v>
      </c>
      <c r="AI30">
        <f t="shared" ca="1" si="8"/>
        <v>8.6142696288864673E-2</v>
      </c>
      <c r="AJ30">
        <f t="shared" ca="1" si="9"/>
        <v>7.9601317603923735E-2</v>
      </c>
      <c r="AK30">
        <f t="shared" ca="1" si="10"/>
        <v>7.2314372487407977E-2</v>
      </c>
    </row>
    <row r="31" spans="1:37" ht="17.25" customHeight="1">
      <c r="A31" s="19"/>
      <c r="B31" s="84" t="s">
        <v>80</v>
      </c>
      <c r="C31" s="28" t="s">
        <v>27</v>
      </c>
      <c r="D31" s="36" t="s">
        <v>27</v>
      </c>
      <c r="E31" s="28" t="s">
        <v>28</v>
      </c>
      <c r="F31" s="36" t="s">
        <v>29</v>
      </c>
      <c r="G31" s="21" t="s">
        <v>30</v>
      </c>
      <c r="H31" s="46" t="str">
        <f>HYPERLINK("https://innovativeincomeinvestor.com/security/americna-financial-group-inc-5-125-subordinated-debentures-due-2059/","AFGC")</f>
        <v>AFGC</v>
      </c>
      <c r="I31" s="47">
        <v>5.1249999999999997E-2</v>
      </c>
      <c r="J31" s="26">
        <f ca="1">IFERROR(__xludf.DUMMYFUNCTION("GOOGLEFINANCE(H31)"),19.15)</f>
        <v>19.149999999999999</v>
      </c>
      <c r="K31" s="26">
        <f ca="1">IFERROR(__xludf.DUMMYFUNCTION("GOOGLEFINANCE(H31,""change"")"),-0.2)</f>
        <v>-0.2</v>
      </c>
      <c r="L31" s="27">
        <f t="shared" ca="1" si="21"/>
        <v>6.6906005221932116E-2</v>
      </c>
      <c r="M31" s="27">
        <f t="shared" ca="1" si="22"/>
        <v>0.23400000000000007</v>
      </c>
      <c r="N31" s="28" t="s">
        <v>39</v>
      </c>
      <c r="O31" s="28" t="s">
        <v>55</v>
      </c>
      <c r="P31" s="28" t="s">
        <v>76</v>
      </c>
      <c r="Q31" s="29">
        <f t="shared" si="23"/>
        <v>0.3203125</v>
      </c>
      <c r="R31" s="64">
        <v>45641</v>
      </c>
      <c r="S31" s="64">
        <v>58424</v>
      </c>
      <c r="T31" s="62" t="s">
        <v>52</v>
      </c>
      <c r="U31" s="16">
        <f t="shared" ca="1" si="2"/>
        <v>-0.56712328767123288</v>
      </c>
      <c r="V31" s="11" t="str">
        <v>All</v>
      </c>
      <c r="X31">
        <f t="shared" ca="1" si="4"/>
        <v>0.33643708366838054</v>
      </c>
      <c r="Z31" s="17">
        <f t="shared" ca="1" si="5"/>
        <v>46213</v>
      </c>
      <c r="AG31" s="33">
        <f t="shared" ca="1" si="6"/>
        <v>0.19539664127881634</v>
      </c>
      <c r="AH31">
        <f t="shared" ca="1" si="7"/>
        <v>0.1132051595547017</v>
      </c>
      <c r="AI31">
        <f t="shared" ca="1" si="8"/>
        <v>9.7839346160264296E-2</v>
      </c>
      <c r="AJ31">
        <f t="shared" ca="1" si="9"/>
        <v>8.6453648276177603E-2</v>
      </c>
      <c r="AK31">
        <f t="shared" ca="1" si="10"/>
        <v>7.3717749475589428E-2</v>
      </c>
    </row>
    <row r="32" spans="1:37" ht="17.25" customHeight="1">
      <c r="A32" s="19"/>
      <c r="B32" s="45" t="s">
        <v>80</v>
      </c>
      <c r="C32" s="28" t="s">
        <v>27</v>
      </c>
      <c r="D32" s="36" t="s">
        <v>27</v>
      </c>
      <c r="E32" s="28" t="s">
        <v>28</v>
      </c>
      <c r="F32" s="36" t="s">
        <v>29</v>
      </c>
      <c r="G32" s="28" t="s">
        <v>30</v>
      </c>
      <c r="H32" s="63" t="str">
        <f>HYPERLINK("https://innovativeincomeinvestor.com/security/american-financial-group-inc-5-625-subordinated-debentures-due-2060/","AFGD")</f>
        <v>AFGD</v>
      </c>
      <c r="I32" s="47">
        <v>5.6250000000000001E-2</v>
      </c>
      <c r="J32" s="26">
        <f ca="1">IFERROR(__xludf.DUMMYFUNCTION("GOOGLEFINANCE(H32)"),20.79)</f>
        <v>20.79</v>
      </c>
      <c r="K32" s="26">
        <f ca="1">IFERROR(__xludf.DUMMYFUNCTION("GOOGLEFINANCE(H32,""change"")"),-0.16)</f>
        <v>-0.16</v>
      </c>
      <c r="L32" s="27">
        <f t="shared" ca="1" si="21"/>
        <v>6.764069264069264E-2</v>
      </c>
      <c r="M32" s="27">
        <f t="shared" ref="M32:M33" ca="1" si="24">L32*U32+(25-J32)/25/U32</f>
        <v>-1.5832786437306987</v>
      </c>
      <c r="N32" s="28" t="s">
        <v>39</v>
      </c>
      <c r="O32" s="28" t="s">
        <v>55</v>
      </c>
      <c r="P32" s="28" t="s">
        <v>76</v>
      </c>
      <c r="Q32" s="29">
        <f t="shared" si="23"/>
        <v>0.3515625</v>
      </c>
      <c r="R32" s="64">
        <v>45809</v>
      </c>
      <c r="S32" s="64">
        <v>54940</v>
      </c>
      <c r="T32" s="62" t="s">
        <v>81</v>
      </c>
      <c r="U32" s="16">
        <f t="shared" ca="1" si="2"/>
        <v>-0.10684931506849316</v>
      </c>
      <c r="V32" s="11" t="str">
        <v>All</v>
      </c>
      <c r="X32">
        <f t="shared" ca="1" si="4"/>
        <v>0.25198014138639929</v>
      </c>
      <c r="Z32" s="17">
        <f t="shared" ca="1" si="5"/>
        <v>46213</v>
      </c>
      <c r="AG32" s="33">
        <f t="shared" ca="1" si="6"/>
        <v>0.1558724922850083</v>
      </c>
      <c r="AH32">
        <f t="shared" ca="1" si="7"/>
        <v>9.9418259876618453E-2</v>
      </c>
      <c r="AI32">
        <f t="shared" ca="1" si="8"/>
        <v>8.8833031701997592E-2</v>
      </c>
      <c r="AJ32">
        <f t="shared" ca="1" si="9"/>
        <v>8.0989412235261793E-2</v>
      </c>
      <c r="AK32">
        <f t="shared" ca="1" si="10"/>
        <v>7.2236695167171724E-2</v>
      </c>
    </row>
    <row r="33" spans="1:37" ht="17.25" customHeight="1">
      <c r="A33" s="19"/>
      <c r="B33" s="45" t="s">
        <v>80</v>
      </c>
      <c r="C33" s="28" t="s">
        <v>27</v>
      </c>
      <c r="D33" s="36" t="s">
        <v>27</v>
      </c>
      <c r="E33" s="28" t="s">
        <v>28</v>
      </c>
      <c r="F33" s="36" t="s">
        <v>29</v>
      </c>
      <c r="G33" s="28" t="s">
        <v>30</v>
      </c>
      <c r="H33" s="23" t="str">
        <f>HYPERLINK("https://innovativeincomeinvestor.com/security/american-financial-group-inc-4-50-subordinated-debentures-due-2060/","AFGE")</f>
        <v>AFGE</v>
      </c>
      <c r="I33" s="47">
        <v>4.4999999999999998E-2</v>
      </c>
      <c r="J33" s="26">
        <f ca="1">IFERROR(__xludf.DUMMYFUNCTION("GOOGLEFINANCE(H33)"),17.06)</f>
        <v>17.059999999999999</v>
      </c>
      <c r="K33" s="26">
        <f ca="1">IFERROR(__xludf.DUMMYFUNCTION("GOOGLEFINANCE(H33,""change"")"),-0.16)</f>
        <v>-0.16</v>
      </c>
      <c r="L33" s="27">
        <f t="shared" ca="1" si="21"/>
        <v>6.5885111371629557E-2</v>
      </c>
      <c r="M33" s="27">
        <f t="shared" ca="1" si="24"/>
        <v>1.7423029345715499</v>
      </c>
      <c r="N33" s="28" t="s">
        <v>39</v>
      </c>
      <c r="O33" s="28" t="s">
        <v>55</v>
      </c>
      <c r="P33" s="28" t="s">
        <v>76</v>
      </c>
      <c r="Q33" s="29">
        <v>0.28100000000000003</v>
      </c>
      <c r="R33" s="64">
        <v>45915</v>
      </c>
      <c r="S33" s="61">
        <v>58699</v>
      </c>
      <c r="T33" s="62" t="s">
        <v>52</v>
      </c>
      <c r="U33" s="16">
        <f t="shared" ca="1" si="2"/>
        <v>0.18356164383561643</v>
      </c>
      <c r="V33" s="11" t="str">
        <v>All</v>
      </c>
      <c r="X33">
        <f t="shared" ca="1" si="4"/>
        <v>0.45854365779469236</v>
      </c>
      <c r="Z33" s="17">
        <f t="shared" ca="1" si="5"/>
        <v>46213</v>
      </c>
      <c r="AG33" s="33">
        <f t="shared" ca="1" si="6"/>
        <v>0.25201983979270165</v>
      </c>
      <c r="AH33">
        <f t="shared" ca="1" si="7"/>
        <v>0.13301407902928794</v>
      </c>
      <c r="AI33">
        <f t="shared" ca="1" si="8"/>
        <v>0.11086035629221373</v>
      </c>
      <c r="AJ33">
        <f t="shared" ca="1" si="9"/>
        <v>9.4448397854490079E-2</v>
      </c>
      <c r="AK33">
        <f t="shared" ca="1" si="10"/>
        <v>7.6036638009763013E-2</v>
      </c>
    </row>
    <row r="34" spans="1:37" ht="17.25" customHeight="1">
      <c r="A34" s="19"/>
      <c r="B34" s="84" t="s">
        <v>82</v>
      </c>
      <c r="C34" s="28" t="s">
        <v>35</v>
      </c>
      <c r="D34" s="36" t="s">
        <v>27</v>
      </c>
      <c r="E34" s="28" t="s">
        <v>63</v>
      </c>
      <c r="F34" s="36" t="s">
        <v>29</v>
      </c>
      <c r="G34" s="28" t="s">
        <v>38</v>
      </c>
      <c r="H34" s="51" t="str">
        <f>HYPERLINK("https://innovativeincomeinvestor.com/security/american-homes-4-rent-series-h-cumulative-redeemable-perpetual-preferred-shares/","AMH-H")</f>
        <v>AMH-H</v>
      </c>
      <c r="I34" s="47">
        <v>6.25E-2</v>
      </c>
      <c r="J34" s="26">
        <f ca="1">IFERROR(__xludf.DUMMYFUNCTION("GOOGLEFINANCE(H34)"),23.76)</f>
        <v>23.76</v>
      </c>
      <c r="K34" s="48">
        <f ca="1">IFERROR(__xludf.DUMMYFUNCTION("googlefinance(H34,""change"")"),-0.11)</f>
        <v>-0.11</v>
      </c>
      <c r="L34" s="27">
        <f t="shared" ca="1" si="21"/>
        <v>6.5761784511784507E-2</v>
      </c>
      <c r="M34" s="27">
        <f t="shared" ref="M34:M35" ca="1" si="25">(25-J34)/25</f>
        <v>4.9599999999999936E-2</v>
      </c>
      <c r="N34" s="28" t="s">
        <v>31</v>
      </c>
      <c r="O34" s="28" t="s">
        <v>30</v>
      </c>
      <c r="P34" s="28" t="s">
        <v>83</v>
      </c>
      <c r="Q34" s="29">
        <f t="shared" ref="Q34:Q38" si="26">(I34*25)/4</f>
        <v>0.390625</v>
      </c>
      <c r="R34" s="53">
        <v>45188</v>
      </c>
      <c r="S34" s="36" t="s">
        <v>41</v>
      </c>
      <c r="T34" s="62" t="s">
        <v>42</v>
      </c>
      <c r="U34" s="16">
        <f t="shared" ca="1" si="2"/>
        <v>-1.8082191780821917</v>
      </c>
      <c r="V34" s="11" t="str">
        <v>All</v>
      </c>
      <c r="X34">
        <f t="shared" ca="1" si="4"/>
        <v>0.1157390702845827</v>
      </c>
      <c r="Z34" s="17">
        <f t="shared" ca="1" si="5"/>
        <v>46213</v>
      </c>
      <c r="AG34" s="33">
        <f t="shared" ca="1" si="6"/>
        <v>8.9872404840688466E-2</v>
      </c>
      <c r="AH34">
        <f t="shared" ca="1" si="7"/>
        <v>7.4477558095922061E-2</v>
      </c>
      <c r="AI34">
        <f t="shared" ca="1" si="8"/>
        <v>7.1575319178973945E-2</v>
      </c>
      <c r="AJ34">
        <f t="shared" ca="1" si="9"/>
        <v>6.9422828372953715E-2</v>
      </c>
      <c r="AK34">
        <f t="shared" ca="1" si="10"/>
        <v>6.7021582603543142E-2</v>
      </c>
    </row>
    <row r="35" spans="1:37" ht="17.25" customHeight="1">
      <c r="A35" s="19"/>
      <c r="B35" s="45" t="s">
        <v>82</v>
      </c>
      <c r="C35" s="28" t="s">
        <v>35</v>
      </c>
      <c r="D35" s="36" t="s">
        <v>27</v>
      </c>
      <c r="E35" s="28" t="s">
        <v>63</v>
      </c>
      <c r="F35" s="36" t="s">
        <v>29</v>
      </c>
      <c r="G35" s="28" t="s">
        <v>38</v>
      </c>
      <c r="H35" s="51" t="str">
        <f>HYPERLINK("https://innovativeincomeinvestor.com/security/american-homes-4-rent-5-875-series-g-cumulative-redeemable-perpetual-preferred-shares/","AMH-G")</f>
        <v>AMH-G</v>
      </c>
      <c r="I35" s="47">
        <v>5.8749999999999997E-2</v>
      </c>
      <c r="J35" s="26">
        <f ca="1">IFERROR(__xludf.DUMMYFUNCTION("GOOGLEFINANCE(H35)"),22.9)</f>
        <v>22.9</v>
      </c>
      <c r="K35" s="48">
        <f ca="1">IFERROR(__xludf.DUMMYFUNCTION("googlefinance(H35,""change"")"),-0.23)</f>
        <v>-0.23</v>
      </c>
      <c r="L35" s="27">
        <f t="shared" ca="1" si="21"/>
        <v>6.4137554585152842E-2</v>
      </c>
      <c r="M35" s="27">
        <f t="shared" ca="1" si="25"/>
        <v>8.4000000000000061E-2</v>
      </c>
      <c r="N35" s="28" t="s">
        <v>31</v>
      </c>
      <c r="O35" s="28" t="s">
        <v>30</v>
      </c>
      <c r="P35" s="28" t="s">
        <v>83</v>
      </c>
      <c r="Q35" s="29">
        <f t="shared" si="26"/>
        <v>0.3671875</v>
      </c>
      <c r="R35" s="64">
        <v>44759</v>
      </c>
      <c r="S35" s="54" t="s">
        <v>41</v>
      </c>
      <c r="T35" s="62" t="s">
        <v>42</v>
      </c>
      <c r="U35" s="16">
        <f t="shared" ca="1" si="2"/>
        <v>-2.9835616438356163</v>
      </c>
      <c r="V35" s="11" t="str">
        <v>All</v>
      </c>
      <c r="X35">
        <f t="shared" ca="1" si="4"/>
        <v>0.15081420753662284</v>
      </c>
      <c r="Z35" s="17">
        <f t="shared" ca="1" si="5"/>
        <v>46213</v>
      </c>
      <c r="AG35" s="33">
        <f t="shared" ca="1" si="6"/>
        <v>0.10590653324660797</v>
      </c>
      <c r="AH35">
        <f t="shared" ca="1" si="7"/>
        <v>7.9271483839405479E-2</v>
      </c>
      <c r="AI35">
        <f t="shared" ca="1" si="8"/>
        <v>7.4255151736589226E-2</v>
      </c>
      <c r="AJ35">
        <f t="shared" ca="1" si="9"/>
        <v>7.0532779539538917E-2</v>
      </c>
      <c r="AK35">
        <f t="shared" ca="1" si="10"/>
        <v>6.6368866667678869E-2</v>
      </c>
    </row>
    <row r="36" spans="1:37" ht="17.25" customHeight="1">
      <c r="A36" s="19"/>
      <c r="B36" s="45" t="s">
        <v>84</v>
      </c>
      <c r="C36" s="28" t="s">
        <v>27</v>
      </c>
      <c r="D36" s="28" t="s">
        <v>35</v>
      </c>
      <c r="E36" s="28" t="s">
        <v>28</v>
      </c>
      <c r="F36" s="36" t="s">
        <v>29</v>
      </c>
      <c r="G36" s="28" t="s">
        <v>38</v>
      </c>
      <c r="H36" s="66" t="str">
        <f>HYPERLINK("https://innovativeincomeinvestor.com/security/american-international-group-inc-series-a-5-85-non-cumulative-perpetual-preferred-stock/","AIG-A")</f>
        <v>AIG-A</v>
      </c>
      <c r="I36" s="47">
        <v>5.8500000000000003E-2</v>
      </c>
      <c r="J36" s="86" t="s">
        <v>68</v>
      </c>
      <c r="K36" s="87" t="s">
        <v>68</v>
      </c>
      <c r="L36" s="88" t="s">
        <v>68</v>
      </c>
      <c r="M36" s="88" t="s">
        <v>68</v>
      </c>
      <c r="N36" s="28" t="s">
        <v>39</v>
      </c>
      <c r="O36" s="28" t="s">
        <v>55</v>
      </c>
      <c r="P36" s="28" t="s">
        <v>64</v>
      </c>
      <c r="Q36" s="29">
        <f t="shared" si="26"/>
        <v>0.36562500000000003</v>
      </c>
      <c r="R36" s="53">
        <v>45366</v>
      </c>
      <c r="S36" s="36" t="s">
        <v>41</v>
      </c>
      <c r="T36" s="62" t="s">
        <v>52</v>
      </c>
      <c r="U36" s="16">
        <f t="shared" ca="1" si="2"/>
        <v>-1.3205479452054794</v>
      </c>
      <c r="V36" s="11" t="str">
        <v>All</v>
      </c>
      <c r="X36" t="e">
        <f t="shared" ca="1" si="4"/>
        <v>#VALUE!</v>
      </c>
      <c r="Z36" s="17">
        <f t="shared" ca="1" si="5"/>
        <v>46213</v>
      </c>
      <c r="AG36" s="33" t="e">
        <f t="shared" ca="1" si="6"/>
        <v>#VALUE!</v>
      </c>
      <c r="AH36" t="e">
        <f t="shared" ca="1" si="7"/>
        <v>#VALUE!</v>
      </c>
      <c r="AI36" t="e">
        <f t="shared" ca="1" si="8"/>
        <v>#VALUE!</v>
      </c>
      <c r="AJ36" t="e">
        <f t="shared" ca="1" si="9"/>
        <v>#VALUE!</v>
      </c>
      <c r="AK36" t="e">
        <f t="shared" ca="1" si="10"/>
        <v>#VALUE!</v>
      </c>
    </row>
    <row r="37" spans="1:37" ht="17.25" customHeight="1">
      <c r="A37" s="19"/>
      <c r="B37" s="84" t="s">
        <v>85</v>
      </c>
      <c r="C37" s="28" t="s">
        <v>27</v>
      </c>
      <c r="D37" s="28" t="s">
        <v>35</v>
      </c>
      <c r="E37" s="28" t="s">
        <v>28</v>
      </c>
      <c r="F37" s="36" t="s">
        <v>29</v>
      </c>
      <c r="G37" s="28" t="s">
        <v>38</v>
      </c>
      <c r="H37" s="66" t="str">
        <f>HYPERLINK("https://innovativeincomeinvestor.com/security/american-national-group-inc-7-375-fixed-rate-non-cumulative-preferred-stock-series-d/","ANG-D")</f>
        <v>ANG-D</v>
      </c>
      <c r="I37" s="47">
        <v>7.3749999999999996E-2</v>
      </c>
      <c r="J37" s="54">
        <v>25</v>
      </c>
      <c r="K37" s="26">
        <f ca="1">IFERROR(__xludf.DUMMYFUNCTION("GOOGLEFINANCE(H37,""change"")"),-0.03)</f>
        <v>-0.03</v>
      </c>
      <c r="L37" s="27">
        <f>(Q37*4)/J37</f>
        <v>7.3749999999999996E-2</v>
      </c>
      <c r="M37" s="27">
        <f t="shared" ref="M37:M39" si="27">(25-J37)/25</f>
        <v>0</v>
      </c>
      <c r="N37" s="89" t="s">
        <v>31</v>
      </c>
      <c r="O37" s="89" t="s">
        <v>69</v>
      </c>
      <c r="P37" s="89" t="s">
        <v>32</v>
      </c>
      <c r="Q37" s="29">
        <f t="shared" si="26"/>
        <v>0.4609375</v>
      </c>
      <c r="R37" s="64">
        <v>47498</v>
      </c>
      <c r="S37" s="54" t="s">
        <v>86</v>
      </c>
      <c r="T37" s="62" t="s">
        <v>60</v>
      </c>
      <c r="U37" s="16">
        <f t="shared" ca="1" si="2"/>
        <v>4.5205479452054798</v>
      </c>
      <c r="V37" s="11" t="str">
        <v>All</v>
      </c>
      <c r="X37">
        <f t="shared" ca="1" si="4"/>
        <v>7.3749999999999996E-2</v>
      </c>
      <c r="Z37" s="17">
        <f t="shared" ca="1" si="5"/>
        <v>46213</v>
      </c>
      <c r="AG37" s="33">
        <f t="shared" ca="1" si="6"/>
        <v>7.3749999999999996E-2</v>
      </c>
      <c r="AH37">
        <f t="shared" ca="1" si="7"/>
        <v>7.3749555223451238E-2</v>
      </c>
      <c r="AI37">
        <f t="shared" ca="1" si="8"/>
        <v>7.3749327558475408E-2</v>
      </c>
      <c r="AJ37">
        <f t="shared" ca="1" si="9"/>
        <v>7.374948076587276E-2</v>
      </c>
      <c r="AK37">
        <f t="shared" ca="1" si="10"/>
        <v>7.3749153583623883E-2</v>
      </c>
    </row>
    <row r="38" spans="1:37" ht="17.25" customHeight="1">
      <c r="A38" s="19"/>
      <c r="B38" s="45" t="s">
        <v>85</v>
      </c>
      <c r="C38" s="28" t="s">
        <v>27</v>
      </c>
      <c r="D38" s="28" t="s">
        <v>35</v>
      </c>
      <c r="E38" s="28" t="s">
        <v>28</v>
      </c>
      <c r="F38" s="36" t="s">
        <v>61</v>
      </c>
      <c r="G38" s="28" t="s">
        <v>38</v>
      </c>
      <c r="H38" s="90" t="str">
        <f>HYPERLINK("https://innovativeincomeinvestor.com/security/american-equity-investment-life-holding-company-5-95-fixed-rate-reset-non-cumulative-preferred-stock-series-a/","ANG-A")</f>
        <v>ANG-A</v>
      </c>
      <c r="I38" s="47">
        <v>5.9499999999999997E-2</v>
      </c>
      <c r="J38" s="86" t="s">
        <v>68</v>
      </c>
      <c r="K38" s="87" t="s">
        <v>68</v>
      </c>
      <c r="L38" s="88" t="s">
        <v>68</v>
      </c>
      <c r="M38" s="27" t="e">
        <f t="shared" si="27"/>
        <v>#VALUE!</v>
      </c>
      <c r="N38" s="89" t="s">
        <v>31</v>
      </c>
      <c r="O38" s="89" t="s">
        <v>69</v>
      </c>
      <c r="P38" s="89" t="s">
        <v>32</v>
      </c>
      <c r="Q38" s="91">
        <f t="shared" si="26"/>
        <v>0.37187499999999996</v>
      </c>
      <c r="R38" s="92">
        <v>45627</v>
      </c>
      <c r="S38" s="89" t="s">
        <v>41</v>
      </c>
      <c r="T38" s="93" t="s">
        <v>81</v>
      </c>
      <c r="U38" s="16">
        <f t="shared" ca="1" si="2"/>
        <v>-0.60547945205479448</v>
      </c>
      <c r="V38" s="11" t="str">
        <v>All</v>
      </c>
      <c r="X38" t="e">
        <f t="shared" ca="1" si="4"/>
        <v>#VALUE!</v>
      </c>
      <c r="Z38" s="17">
        <f t="shared" ca="1" si="5"/>
        <v>46213</v>
      </c>
      <c r="AG38" s="33" t="e">
        <f t="shared" ca="1" si="6"/>
        <v>#VALUE!</v>
      </c>
      <c r="AH38" t="e">
        <f t="shared" ca="1" si="7"/>
        <v>#VALUE!</v>
      </c>
      <c r="AI38" t="e">
        <f t="shared" ca="1" si="8"/>
        <v>#VALUE!</v>
      </c>
      <c r="AJ38" t="e">
        <f t="shared" ca="1" si="9"/>
        <v>#VALUE!</v>
      </c>
      <c r="AK38" t="e">
        <f t="shared" ca="1" si="10"/>
        <v>#VALUE!</v>
      </c>
    </row>
    <row r="39" spans="1:37" ht="17.25" customHeight="1">
      <c r="A39" s="19"/>
      <c r="B39" s="45" t="s">
        <v>85</v>
      </c>
      <c r="C39" s="28" t="s">
        <v>27</v>
      </c>
      <c r="D39" s="28" t="s">
        <v>35</v>
      </c>
      <c r="E39" s="28" t="s">
        <v>28</v>
      </c>
      <c r="F39" s="36" t="s">
        <v>61</v>
      </c>
      <c r="G39" s="28" t="s">
        <v>38</v>
      </c>
      <c r="H39" s="23" t="str">
        <f>HYPERLINK("https://innovativeincomeinvestor.com/security/american-equity-investment-life-holding-company-6-625-fixed-rate-reset-non-cumulative-preferred-stock-series-b/","ANG-B")</f>
        <v>ANG-B</v>
      </c>
      <c r="I39" s="47">
        <v>6.6250000000000003E-2</v>
      </c>
      <c r="J39" s="54">
        <f ca="1">IFERROR(__xludf.DUMMYFUNCTION("GoogleFinance(H39)"),25.18)</f>
        <v>25.18</v>
      </c>
      <c r="K39" s="26">
        <f ca="1">IFERROR(__xludf.DUMMYFUNCTION("GOOGLEFINANCE(H39,""change"")"),0)</f>
        <v>0</v>
      </c>
      <c r="L39" s="27">
        <f t="shared" ref="L39:L48" ca="1" si="28">(Q39*4)/J39</f>
        <v>6.5131056393963466E-2</v>
      </c>
      <c r="M39" s="27">
        <f t="shared" ca="1" si="27"/>
        <v>-7.1999999999999885E-3</v>
      </c>
      <c r="N39" s="89" t="s">
        <v>31</v>
      </c>
      <c r="O39" s="89" t="s">
        <v>69</v>
      </c>
      <c r="P39" s="89" t="s">
        <v>32</v>
      </c>
      <c r="Q39" s="91">
        <v>0.41</v>
      </c>
      <c r="R39" s="92">
        <v>45901</v>
      </c>
      <c r="S39" s="89" t="s">
        <v>41</v>
      </c>
      <c r="T39" s="93" t="s">
        <v>81</v>
      </c>
      <c r="U39" s="16">
        <f t="shared" ca="1" si="2"/>
        <v>0.14520547945205478</v>
      </c>
      <c r="V39" s="11" t="str">
        <v>All</v>
      </c>
      <c r="X39">
        <f t="shared" ca="1" si="4"/>
        <v>5.8783544588030825E-2</v>
      </c>
      <c r="Z39" s="17">
        <f t="shared" ca="1" si="5"/>
        <v>46213</v>
      </c>
      <c r="AG39" s="33">
        <f t="shared" ca="1" si="6"/>
        <v>6.2392747615999986E-2</v>
      </c>
      <c r="AH39">
        <f t="shared" ca="1" si="7"/>
        <v>6.4552499906287045E-2</v>
      </c>
      <c r="AI39">
        <f t="shared" ca="1" si="8"/>
        <v>6.4960392420405341E-2</v>
      </c>
      <c r="AJ39">
        <f t="shared" ca="1" si="9"/>
        <v>6.5263232719918268E-2</v>
      </c>
      <c r="AK39">
        <f t="shared" ca="1" si="10"/>
        <v>6.5600208115865435E-2</v>
      </c>
    </row>
    <row r="40" spans="1:37" ht="17.25" customHeight="1">
      <c r="A40" s="19"/>
      <c r="B40" s="84" t="s">
        <v>87</v>
      </c>
      <c r="C40" s="28" t="s">
        <v>35</v>
      </c>
      <c r="D40" s="28" t="s">
        <v>36</v>
      </c>
      <c r="E40" s="28" t="s">
        <v>67</v>
      </c>
      <c r="F40" s="36" t="s">
        <v>29</v>
      </c>
      <c r="G40" s="28" t="s">
        <v>38</v>
      </c>
      <c r="H40" s="46" t="str">
        <f>HYPERLINK("https://innovativeincomeinvestor.com/security/ammo-inc-8-75-series-a-cumulative-redeemable-perpetual-preferred-stock/","POWWP")</f>
        <v>POWWP</v>
      </c>
      <c r="I40" s="47">
        <v>8.7499999999999994E-2</v>
      </c>
      <c r="J40" s="65">
        <f ca="1">IFERROR(__xludf.DUMMYFUNCTION("GoogleFinance(H40)"),22.79)</f>
        <v>22.79</v>
      </c>
      <c r="K40" s="65">
        <f ca="1">IFERROR(__xludf.DUMMYFUNCTION("googlefinance(H40,""change"")"),0.2)</f>
        <v>0.2</v>
      </c>
      <c r="L40" s="27">
        <f t="shared" ca="1" si="28"/>
        <v>9.6533567354102692E-2</v>
      </c>
      <c r="M40" s="27">
        <f t="array" aca="1" ref="M40" ca="1">L40*U40+(25-J40)/25/U40</f>
        <v>0.18593303108989967</v>
      </c>
      <c r="N40" s="28" t="s">
        <v>31</v>
      </c>
      <c r="O40" s="28" t="s">
        <v>32</v>
      </c>
      <c r="P40" s="28" t="s">
        <v>32</v>
      </c>
      <c r="Q40" s="29">
        <v>0.55000000000000004</v>
      </c>
      <c r="R40" s="64">
        <v>46160</v>
      </c>
      <c r="S40" s="54" t="s">
        <v>41</v>
      </c>
      <c r="T40" s="62" t="s">
        <v>52</v>
      </c>
      <c r="U40" s="16">
        <f t="shared" ca="1" si="2"/>
        <v>0.85479452054794525</v>
      </c>
      <c r="V40" s="11" t="str">
        <v>All</v>
      </c>
      <c r="X40">
        <f t="shared" ca="1" si="4"/>
        <v>0.18643501826559072</v>
      </c>
      <c r="Z40" s="17">
        <f t="shared" ca="1" si="5"/>
        <v>46213</v>
      </c>
      <c r="AG40" s="33">
        <f t="shared" ca="1" si="6"/>
        <v>0.13888047156549377</v>
      </c>
      <c r="AH40">
        <f t="shared" ca="1" si="7"/>
        <v>0.11077230320234713</v>
      </c>
      <c r="AI40">
        <f t="shared" ca="1" si="8"/>
        <v>0.10552915247573394</v>
      </c>
      <c r="AJ40">
        <f t="shared" ca="1" si="9"/>
        <v>0.10169013532657256</v>
      </c>
      <c r="AK40">
        <f t="shared" ca="1" si="10"/>
        <v>9.7595674843578131E-2</v>
      </c>
    </row>
    <row r="41" spans="1:37" ht="17.25" customHeight="1">
      <c r="A41" s="19"/>
      <c r="B41" s="84" t="s">
        <v>88</v>
      </c>
      <c r="C41" s="28" t="s">
        <v>27</v>
      </c>
      <c r="D41" s="28" t="s">
        <v>35</v>
      </c>
      <c r="E41" s="28" t="s">
        <v>28</v>
      </c>
      <c r="F41" s="36" t="s">
        <v>29</v>
      </c>
      <c r="G41" s="21" t="s">
        <v>38</v>
      </c>
      <c r="H41" s="63" t="str">
        <f>HYPERLINK("https://innovativeincomeinvestor.com/security/amtrust-financial-services-6-75-non-cumulative-preferred-stock-series-a/","AFSIA")</f>
        <v>AFSIA</v>
      </c>
      <c r="I41" s="47">
        <v>6.7500000000000004E-2</v>
      </c>
      <c r="J41" s="65">
        <f ca="1">IFERROR(__xludf.DUMMYFUNCTION("GoogleFinance(H41)"),13.32)</f>
        <v>13.32</v>
      </c>
      <c r="K41" s="67">
        <f ca="1">IFERROR(__xludf.DUMMYFUNCTION("googlefinance(H41,""change"")"),0.17)</f>
        <v>0.17</v>
      </c>
      <c r="L41" s="27">
        <f t="shared" ca="1" si="28"/>
        <v>0.1266891891891892</v>
      </c>
      <c r="M41" s="27">
        <f t="shared" ref="M41:M46" ca="1" si="29">(25-J41)/25</f>
        <v>0.4672</v>
      </c>
      <c r="N41" s="28" t="s">
        <v>31</v>
      </c>
      <c r="O41" s="28" t="s">
        <v>32</v>
      </c>
      <c r="P41" s="28" t="s">
        <v>32</v>
      </c>
      <c r="Q41" s="29">
        <f t="shared" ref="Q41:Q47" si="30">(I41*25)/4</f>
        <v>0.421875</v>
      </c>
      <c r="R41" s="64">
        <v>43261</v>
      </c>
      <c r="S41" s="54" t="s">
        <v>41</v>
      </c>
      <c r="T41" s="62" t="s">
        <v>52</v>
      </c>
      <c r="U41" s="16">
        <f t="shared" ca="1" si="2"/>
        <v>-7.087671232876712</v>
      </c>
      <c r="V41" s="11" t="str">
        <v>All</v>
      </c>
      <c r="X41">
        <f t="shared" ca="1" si="4"/>
        <v>0.78389582567155958</v>
      </c>
      <c r="Z41" s="17">
        <f t="shared" ca="1" si="5"/>
        <v>46213</v>
      </c>
      <c r="AG41" s="33">
        <f t="shared" ca="1" si="6"/>
        <v>0.42618664126519096</v>
      </c>
      <c r="AH41">
        <f t="shared" ca="1" si="7"/>
        <v>0.2258195912522114</v>
      </c>
      <c r="AI41">
        <f t="shared" ca="1" si="8"/>
        <v>0.18939223966144064</v>
      </c>
      <c r="AJ41">
        <f t="shared" ca="1" si="9"/>
        <v>0.16299182331534429</v>
      </c>
      <c r="AK41">
        <f t="shared" ca="1" si="10"/>
        <v>0.13558041144912047</v>
      </c>
    </row>
    <row r="42" spans="1:37" ht="17.25" customHeight="1">
      <c r="A42" s="19"/>
      <c r="B42" s="45" t="s">
        <v>88</v>
      </c>
      <c r="C42" s="28" t="s">
        <v>27</v>
      </c>
      <c r="D42" s="28" t="s">
        <v>35</v>
      </c>
      <c r="E42" s="28" t="s">
        <v>28</v>
      </c>
      <c r="F42" s="36" t="s">
        <v>29</v>
      </c>
      <c r="G42" s="28" t="s">
        <v>38</v>
      </c>
      <c r="H42" s="66" t="str">
        <f>HYPERLINK("https://innovativeincomeinvestor.com/security/amtrust-financial-services-6-95-dep-shares-non-cumul-preferred-stock-series-f/","AFSIN")</f>
        <v>AFSIN</v>
      </c>
      <c r="I42" s="47">
        <v>6.9500000000000006E-2</v>
      </c>
      <c r="J42" s="65">
        <f ca="1">IFERROR(__xludf.DUMMYFUNCTION("GoogleFinance(H42)"),13.5)</f>
        <v>13.5</v>
      </c>
      <c r="K42" s="65">
        <f ca="1">IFERROR(__xludf.DUMMYFUNCTION("googlefinance(H42,""change"")"),0.1)</f>
        <v>0.1</v>
      </c>
      <c r="L42" s="27">
        <f t="shared" ca="1" si="28"/>
        <v>0.12870370370370374</v>
      </c>
      <c r="M42" s="27">
        <f t="shared" ca="1" si="29"/>
        <v>0.46</v>
      </c>
      <c r="N42" s="28" t="s">
        <v>31</v>
      </c>
      <c r="O42" s="28" t="s">
        <v>32</v>
      </c>
      <c r="P42" s="28" t="s">
        <v>32</v>
      </c>
      <c r="Q42" s="29">
        <f t="shared" si="30"/>
        <v>0.43437500000000007</v>
      </c>
      <c r="R42" s="64">
        <v>44466</v>
      </c>
      <c r="S42" s="54" t="s">
        <v>41</v>
      </c>
      <c r="T42" s="50" t="s">
        <v>52</v>
      </c>
      <c r="U42" s="16">
        <f t="shared" ca="1" si="2"/>
        <v>-3.7863013698630139</v>
      </c>
      <c r="V42" s="11" t="str">
        <v>All</v>
      </c>
      <c r="X42">
        <f t="shared" ca="1" si="4"/>
        <v>0.77028975009454215</v>
      </c>
      <c r="Z42" s="17">
        <f t="shared" ca="1" si="5"/>
        <v>46213</v>
      </c>
      <c r="AG42" s="33">
        <f t="shared" ca="1" si="6"/>
        <v>0.42102322963560668</v>
      </c>
      <c r="AH42">
        <f t="shared" ca="1" si="7"/>
        <v>0.22517164075761695</v>
      </c>
      <c r="AI42">
        <f t="shared" ca="1" si="8"/>
        <v>0.18957376233646239</v>
      </c>
      <c r="AJ42">
        <f t="shared" ca="1" si="9"/>
        <v>0.16380175412834314</v>
      </c>
      <c r="AK42">
        <f t="shared" ca="1" si="10"/>
        <v>0.13715973771517204</v>
      </c>
    </row>
    <row r="43" spans="1:37" ht="17.25" customHeight="1">
      <c r="A43" s="19"/>
      <c r="B43" s="84" t="s">
        <v>88</v>
      </c>
      <c r="C43" s="28" t="s">
        <v>27</v>
      </c>
      <c r="D43" s="28" t="s">
        <v>35</v>
      </c>
      <c r="E43" s="28" t="s">
        <v>28</v>
      </c>
      <c r="F43" s="36" t="s">
        <v>29</v>
      </c>
      <c r="G43" s="28" t="s">
        <v>38</v>
      </c>
      <c r="H43" s="63" t="str">
        <f>HYPERLINK("https://innovativeincomeinvestor.com/security/amtrust-financial-services-7-625-dep-shares-non-cumul-preferred-stock-series-c/","AFSIC")</f>
        <v>AFSIC</v>
      </c>
      <c r="I43" s="47">
        <v>7.6249999999999998E-2</v>
      </c>
      <c r="J43" s="65">
        <f ca="1">IFERROR(__xludf.DUMMYFUNCTION("GoogleFinance(H43)"),15)</f>
        <v>15</v>
      </c>
      <c r="K43" s="67">
        <f ca="1">IFERROR(__xludf.DUMMYFUNCTION("googlefinance(H43,""change"")"),0)</f>
        <v>0</v>
      </c>
      <c r="L43" s="27">
        <f t="shared" ca="1" si="28"/>
        <v>0.12708333333333333</v>
      </c>
      <c r="M43" s="27">
        <f t="shared" ca="1" si="29"/>
        <v>0.4</v>
      </c>
      <c r="N43" s="28" t="s">
        <v>31</v>
      </c>
      <c r="O43" s="28" t="s">
        <v>32</v>
      </c>
      <c r="P43" s="28" t="s">
        <v>32</v>
      </c>
      <c r="Q43" s="29">
        <f t="shared" si="30"/>
        <v>0.4765625</v>
      </c>
      <c r="R43" s="64">
        <v>43724</v>
      </c>
      <c r="S43" s="54" t="s">
        <v>41</v>
      </c>
      <c r="T43" s="62" t="s">
        <v>52</v>
      </c>
      <c r="U43" s="16">
        <f t="shared" ca="1" si="2"/>
        <v>-5.8191780821917805</v>
      </c>
      <c r="V43" s="11" t="str">
        <v>All</v>
      </c>
      <c r="X43">
        <f t="shared" ca="1" si="4"/>
        <v>0.65126886616929902</v>
      </c>
      <c r="Z43" s="17">
        <f t="shared" ca="1" si="5"/>
        <v>46213</v>
      </c>
      <c r="AG43" s="33">
        <f t="shared" ca="1" si="6"/>
        <v>0.36729005003571918</v>
      </c>
      <c r="AH43">
        <f t="shared" ca="1" si="7"/>
        <v>0.20643566792377277</v>
      </c>
      <c r="AI43">
        <f t="shared" ca="1" si="8"/>
        <v>0.177098422788347</v>
      </c>
      <c r="AJ43">
        <f t="shared" ca="1" si="9"/>
        <v>0.15586559273201556</v>
      </c>
      <c r="AK43">
        <f t="shared" ca="1" si="10"/>
        <v>0.1339879192198104</v>
      </c>
    </row>
    <row r="44" spans="1:37" ht="17.25" customHeight="1">
      <c r="A44" s="19"/>
      <c r="B44" s="84" t="s">
        <v>88</v>
      </c>
      <c r="C44" s="28" t="s">
        <v>27</v>
      </c>
      <c r="D44" s="28" t="s">
        <v>35</v>
      </c>
      <c r="E44" s="28" t="s">
        <v>28</v>
      </c>
      <c r="F44" s="36" t="s">
        <v>29</v>
      </c>
      <c r="G44" s="28" t="s">
        <v>38</v>
      </c>
      <c r="H44" s="94" t="str">
        <f>HYPERLINK("https://innovativeincomeinvestor.com/security/amtrust-financial-services-7-25-dep-shares-non-cumul-preferred-stock-series-b/","AFSIB")</f>
        <v>AFSIB</v>
      </c>
      <c r="I44" s="47">
        <v>7.2499999999999995E-2</v>
      </c>
      <c r="J44" s="65">
        <f ca="1">IFERROR(__xludf.DUMMYFUNCTION("GoogleFinance(H44)"),14.1)</f>
        <v>14.1</v>
      </c>
      <c r="K44" s="67">
        <f ca="1">IFERROR(__xludf.DUMMYFUNCTION("googlefinance(H44,""change"")"),-0.9)</f>
        <v>-0.9</v>
      </c>
      <c r="L44" s="27">
        <f t="shared" ca="1" si="28"/>
        <v>0.12854609929078012</v>
      </c>
      <c r="M44" s="27">
        <f t="shared" ca="1" si="29"/>
        <v>0.436</v>
      </c>
      <c r="N44" s="28" t="s">
        <v>31</v>
      </c>
      <c r="O44" s="28" t="s">
        <v>32</v>
      </c>
      <c r="P44" s="28" t="s">
        <v>32</v>
      </c>
      <c r="Q44" s="29">
        <f t="shared" si="30"/>
        <v>0.45312499999999994</v>
      </c>
      <c r="R44" s="64">
        <v>43647</v>
      </c>
      <c r="S44" s="54" t="s">
        <v>41</v>
      </c>
      <c r="T44" s="62" t="s">
        <v>52</v>
      </c>
      <c r="U44" s="16">
        <f t="shared" ca="1" si="2"/>
        <v>-6.0301369863013701</v>
      </c>
      <c r="V44" s="11" t="str">
        <v>All</v>
      </c>
      <c r="X44">
        <f t="shared" ca="1" si="4"/>
        <v>0.72118612986956665</v>
      </c>
      <c r="Z44" s="17">
        <f t="shared" ca="1" si="5"/>
        <v>46213</v>
      </c>
      <c r="AG44" s="33">
        <f t="shared" ca="1" si="6"/>
        <v>0.39914931644048807</v>
      </c>
      <c r="AH44">
        <f t="shared" ca="1" si="7"/>
        <v>0.21782172775477246</v>
      </c>
      <c r="AI44">
        <f t="shared" ca="1" si="8"/>
        <v>0.18482213387647942</v>
      </c>
      <c r="AJ44">
        <f t="shared" ca="1" si="9"/>
        <v>0.16093992670794585</v>
      </c>
      <c r="AK44">
        <f t="shared" ca="1" si="10"/>
        <v>0.13630785756065317</v>
      </c>
    </row>
    <row r="45" spans="1:37" ht="17.25" customHeight="1">
      <c r="A45" s="19"/>
      <c r="B45" s="84" t="s">
        <v>88</v>
      </c>
      <c r="C45" s="28" t="s">
        <v>27</v>
      </c>
      <c r="D45" s="28" t="s">
        <v>35</v>
      </c>
      <c r="E45" s="28" t="s">
        <v>28</v>
      </c>
      <c r="F45" s="36" t="s">
        <v>29</v>
      </c>
      <c r="G45" s="28" t="s">
        <v>38</v>
      </c>
      <c r="H45" s="63" t="str">
        <f>HYPERLINK("https://innovativeincomeinvestor.com/security/amtrust-financial-services-7-50-dep-shares-non-cumul-preferred-stock-series-d/","AFSIP")</f>
        <v>AFSIP</v>
      </c>
      <c r="I45" s="47">
        <v>7.4999999999999997E-2</v>
      </c>
      <c r="J45" s="65">
        <f ca="1">IFERROR(__xludf.DUMMYFUNCTION("GoogleFinance(H45)"),15)</f>
        <v>15</v>
      </c>
      <c r="K45" s="48">
        <f ca="1">IFERROR(__xludf.DUMMYFUNCTION("googlefinance(H45,""change"")"),0.35)</f>
        <v>0.35</v>
      </c>
      <c r="L45" s="27">
        <f t="shared" ca="1" si="28"/>
        <v>0.125</v>
      </c>
      <c r="M45" s="27">
        <f t="shared" ca="1" si="29"/>
        <v>0.4</v>
      </c>
      <c r="N45" s="28" t="s">
        <v>31</v>
      </c>
      <c r="O45" s="28" t="s">
        <v>32</v>
      </c>
      <c r="P45" s="28" t="s">
        <v>32</v>
      </c>
      <c r="Q45" s="29">
        <f t="shared" si="30"/>
        <v>0.46875</v>
      </c>
      <c r="R45" s="64">
        <v>43909</v>
      </c>
      <c r="S45" s="54" t="s">
        <v>41</v>
      </c>
      <c r="T45" s="62" t="s">
        <v>52</v>
      </c>
      <c r="U45" s="16">
        <f t="shared" ca="1" si="2"/>
        <v>-5.3123287671232875</v>
      </c>
      <c r="V45" s="11" t="str">
        <v>All</v>
      </c>
      <c r="X45">
        <f t="shared" ca="1" si="4"/>
        <v>0.6495185045080667</v>
      </c>
      <c r="Z45" s="17">
        <f t="shared" ca="1" si="5"/>
        <v>46213</v>
      </c>
      <c r="AG45" s="33">
        <f t="shared" ca="1" si="6"/>
        <v>0.36557934017705024</v>
      </c>
      <c r="AH45">
        <f t="shared" ca="1" si="7"/>
        <v>0.20471471507798616</v>
      </c>
      <c r="AI45">
        <f t="shared" ca="1" si="8"/>
        <v>0.175355241823551</v>
      </c>
      <c r="AJ45">
        <f t="shared" ca="1" si="9"/>
        <v>0.15408454069125191</v>
      </c>
      <c r="AK45">
        <f t="shared" ca="1" si="10"/>
        <v>0.13208274086332425</v>
      </c>
    </row>
    <row r="46" spans="1:37" ht="17.25" customHeight="1">
      <c r="A46" s="19"/>
      <c r="B46" s="45" t="s">
        <v>88</v>
      </c>
      <c r="C46" s="28" t="s">
        <v>27</v>
      </c>
      <c r="D46" s="28" t="s">
        <v>35</v>
      </c>
      <c r="E46" s="28" t="s">
        <v>28</v>
      </c>
      <c r="F46" s="36" t="s">
        <v>29</v>
      </c>
      <c r="G46" s="28" t="s">
        <v>38</v>
      </c>
      <c r="H46" s="66" t="str">
        <f>HYPERLINK("https://innovativeincomeinvestor.com/security/amtrust-financial-services-7-75-dep-shares-non-cumul-preferred-stock-series-e/","AFSIM")</f>
        <v>AFSIM</v>
      </c>
      <c r="I46" s="47">
        <v>7.7499999999999999E-2</v>
      </c>
      <c r="J46" s="65">
        <f ca="1">IFERROR(__xludf.DUMMYFUNCTION("GoogleFinance(H46)"),15.5)</f>
        <v>15.5</v>
      </c>
      <c r="K46" s="48">
        <f ca="1">IFERROR(__xludf.DUMMYFUNCTION("googlefinance(H46,""change"")"),0.25)</f>
        <v>0.25</v>
      </c>
      <c r="L46" s="27">
        <f t="shared" ca="1" si="28"/>
        <v>0.125</v>
      </c>
      <c r="M46" s="27">
        <f t="shared" ca="1" si="29"/>
        <v>0.38</v>
      </c>
      <c r="N46" s="28" t="s">
        <v>31</v>
      </c>
      <c r="O46" s="28" t="s">
        <v>32</v>
      </c>
      <c r="P46" s="28" t="s">
        <v>32</v>
      </c>
      <c r="Q46" s="29">
        <f t="shared" si="30"/>
        <v>0.484375</v>
      </c>
      <c r="R46" s="64">
        <v>44270</v>
      </c>
      <c r="S46" s="54" t="s">
        <v>41</v>
      </c>
      <c r="T46" s="50" t="s">
        <v>52</v>
      </c>
      <c r="U46" s="16">
        <f t="shared" ca="1" si="2"/>
        <v>-4.3232876712328769</v>
      </c>
      <c r="V46" s="11" t="str">
        <v>All</v>
      </c>
      <c r="X46">
        <f t="shared" ca="1" si="4"/>
        <v>0.6135579764594159</v>
      </c>
      <c r="Z46" s="17">
        <f t="shared" ca="1" si="5"/>
        <v>46213</v>
      </c>
      <c r="AG46" s="33">
        <f t="shared" ca="1" si="6"/>
        <v>0.34943500428549312</v>
      </c>
      <c r="AH46">
        <f t="shared" ca="1" si="7"/>
        <v>0.19933533418312613</v>
      </c>
      <c r="AI46">
        <f t="shared" ca="1" si="8"/>
        <v>0.17191608911694492</v>
      </c>
      <c r="AJ46">
        <f t="shared" ca="1" si="9"/>
        <v>0.15205795873363848</v>
      </c>
      <c r="AK46">
        <f t="shared" ca="1" si="10"/>
        <v>0.13155707870265965</v>
      </c>
    </row>
    <row r="47" spans="1:37" ht="17.25" customHeight="1">
      <c r="A47" s="19"/>
      <c r="B47" s="45" t="s">
        <v>89</v>
      </c>
      <c r="C47" s="28" t="s">
        <v>27</v>
      </c>
      <c r="D47" s="28" t="s">
        <v>27</v>
      </c>
      <c r="E47" s="28" t="s">
        <v>44</v>
      </c>
      <c r="F47" s="28" t="s">
        <v>29</v>
      </c>
      <c r="G47" s="28" t="s">
        <v>30</v>
      </c>
      <c r="H47" s="23" t="str">
        <f>HYPERLINK("https://innovativeincomeinvestor.com/security/angel-oak-mortgage-reit-inc-9-50-senior-notes-due-2029/","AOMN")</f>
        <v>AOMN</v>
      </c>
      <c r="I47" s="47">
        <v>9.5000000000000001E-2</v>
      </c>
      <c r="J47" s="65">
        <f ca="1">IFERROR(__xludf.DUMMYFUNCTION("GoogleFinance(H47)"),25.11)</f>
        <v>25.11</v>
      </c>
      <c r="K47" s="48">
        <f ca="1">IFERROR(__xludf.DUMMYFUNCTION("googlefinance(H47,""change"")"),-0.06)</f>
        <v>-0.06</v>
      </c>
      <c r="L47" s="27">
        <f t="shared" ca="1" si="28"/>
        <v>9.4583831142970934E-2</v>
      </c>
      <c r="M47" s="27">
        <f t="shared" ref="M47:M48" ca="1" si="31">L47*U47+(25-J47)/25/U47</f>
        <v>9.5595078250609283E-2</v>
      </c>
      <c r="N47" s="28" t="s">
        <v>31</v>
      </c>
      <c r="O47" s="28" t="s">
        <v>32</v>
      </c>
      <c r="P47" s="28" t="s">
        <v>32</v>
      </c>
      <c r="Q47" s="29">
        <f t="shared" si="30"/>
        <v>0.59375</v>
      </c>
      <c r="R47" s="64">
        <v>46233</v>
      </c>
      <c r="S47" s="61">
        <v>47329</v>
      </c>
      <c r="T47" s="62" t="s">
        <v>45</v>
      </c>
      <c r="U47" s="16">
        <f t="shared" ca="1" si="2"/>
        <v>1.0547945205479452</v>
      </c>
      <c r="V47" s="11" t="str">
        <v>All</v>
      </c>
      <c r="X47">
        <f t="shared" ca="1" si="4"/>
        <v>9.0348766508053444E-2</v>
      </c>
      <c r="Z47" s="17">
        <f t="shared" ca="1" si="5"/>
        <v>46213</v>
      </c>
      <c r="AG47" s="33">
        <f t="shared" ca="1" si="6"/>
        <v>9.2564790889357457E-2</v>
      </c>
      <c r="AH47">
        <f t="shared" ca="1" si="7"/>
        <v>9.3885997783785202E-2</v>
      </c>
      <c r="AI47">
        <f t="shared" ca="1" si="8"/>
        <v>9.4132981748389521E-2</v>
      </c>
      <c r="AJ47">
        <f t="shared" ca="1" si="9"/>
        <v>9.4314398922035983E-2</v>
      </c>
      <c r="AK47">
        <f t="shared" ca="1" si="10"/>
        <v>9.4506501270159901E-2</v>
      </c>
    </row>
    <row r="48" spans="1:37" ht="17.25" customHeight="1">
      <c r="A48" s="19"/>
      <c r="B48" s="45" t="s">
        <v>89</v>
      </c>
      <c r="C48" s="28" t="s">
        <v>27</v>
      </c>
      <c r="D48" s="28" t="s">
        <v>27</v>
      </c>
      <c r="E48" s="28" t="s">
        <v>44</v>
      </c>
      <c r="F48" s="28" t="s">
        <v>29</v>
      </c>
      <c r="G48" s="28" t="s">
        <v>30</v>
      </c>
      <c r="H48" s="51" t="str">
        <f>HYPERLINK("https://innovativeincomeinvestor.com/security/angel-oak-mortgage-reit-inc-9-75-senior-note-due-2030/","AOMD")</f>
        <v>AOMD</v>
      </c>
      <c r="I48" s="47">
        <v>9.7500000000000003E-2</v>
      </c>
      <c r="J48" s="56">
        <f ca="1">IFERROR(__xludf.DUMMYFUNCTION("importxml(""https://bigcharts.marketwatch.com/quickchart/quickchart.asp?symb=mfAO&amp;insttype=Stock"",""/html/body/div[1]/div[2]/table/tbody/tr/td[1]/table/tbody/tr[3]/td[1]/div"")"),25.21)</f>
        <v>25.21</v>
      </c>
      <c r="K48" s="48">
        <f ca="1">IFERROR(__xludf.DUMMYFUNCTION("googlefinance(H48,""change"")"),0)</f>
        <v>0</v>
      </c>
      <c r="L48" s="27">
        <f t="shared" ca="1" si="28"/>
        <v>9.6628322094406971E-2</v>
      </c>
      <c r="M48" s="27" t="e">
        <f t="shared" ca="1" si="31"/>
        <v>#DIV/0!</v>
      </c>
      <c r="N48" s="28" t="s">
        <v>31</v>
      </c>
      <c r="O48" s="28" t="s">
        <v>32</v>
      </c>
      <c r="P48" s="28" t="s">
        <v>32</v>
      </c>
      <c r="Q48" s="28">
        <v>0.60899999999999999</v>
      </c>
      <c r="R48" s="64">
        <v>46539</v>
      </c>
      <c r="S48" s="61">
        <v>47635</v>
      </c>
      <c r="T48" s="62" t="s">
        <v>81</v>
      </c>
      <c r="U48" s="16"/>
      <c r="V48" s="11" t="str">
        <v>All</v>
      </c>
      <c r="X48">
        <f t="shared" ca="1" si="4"/>
        <v>8.8629596613571227E-2</v>
      </c>
      <c r="Z48" s="17">
        <f t="shared" ca="1" si="5"/>
        <v>46213</v>
      </c>
      <c r="AG48" s="33">
        <f t="shared" ca="1" si="6"/>
        <v>9.2849547508241273E-2</v>
      </c>
      <c r="AH48">
        <f t="shared" ca="1" si="7"/>
        <v>9.5366444630514094E-2</v>
      </c>
      <c r="AI48">
        <f t="shared" ca="1" si="8"/>
        <v>9.5836848696841878E-2</v>
      </c>
      <c r="AJ48">
        <f t="shared" ca="1" si="9"/>
        <v>9.6181510135307222E-2</v>
      </c>
      <c r="AK48">
        <f t="shared" ca="1" si="10"/>
        <v>9.6545772624991269E-2</v>
      </c>
    </row>
    <row r="49" spans="1:37" ht="17.25" customHeight="1">
      <c r="A49" s="19"/>
      <c r="B49" s="45" t="s">
        <v>90</v>
      </c>
      <c r="C49" s="28" t="s">
        <v>35</v>
      </c>
      <c r="D49" s="28" t="s">
        <v>27</v>
      </c>
      <c r="E49" s="28" t="s">
        <v>44</v>
      </c>
      <c r="F49" s="28" t="s">
        <v>46</v>
      </c>
      <c r="G49" s="28" t="s">
        <v>38</v>
      </c>
      <c r="H49" s="66" t="str">
        <f>HYPERLINK("https://innovativeincomeinvestor.com/security/annaly-capital-management-series-f-fixed-to-floating-cumulative-redeemable-preferred-stock/","NLY-F")</f>
        <v>NLY-F</v>
      </c>
      <c r="I49" s="47">
        <v>6.9500000000000006E-2</v>
      </c>
      <c r="J49" s="65">
        <f ca="1">IFERROR(__xludf.DUMMYFUNCTION("GoogleFinance(H49)"),25.53)</f>
        <v>25.53</v>
      </c>
      <c r="K49" s="67">
        <f ca="1">IFERROR(__xludf.DUMMYFUNCTION("googlefinance(H49,""change"")"),0.08)</f>
        <v>0.08</v>
      </c>
      <c r="L49" s="52" t="s">
        <v>47</v>
      </c>
      <c r="M49" s="52" t="s">
        <v>47</v>
      </c>
      <c r="N49" s="28" t="s">
        <v>31</v>
      </c>
      <c r="O49" s="28" t="s">
        <v>32</v>
      </c>
      <c r="P49" s="28" t="s">
        <v>32</v>
      </c>
      <c r="Q49" s="52" t="s">
        <v>47</v>
      </c>
      <c r="R49" s="64">
        <v>44834</v>
      </c>
      <c r="S49" s="54" t="s">
        <v>41</v>
      </c>
      <c r="T49" s="62" t="s">
        <v>42</v>
      </c>
      <c r="U49" s="16">
        <f t="shared" ref="U49:U64" ca="1" si="32">(R49-TODAY())/365</f>
        <v>-2.7780821917808218</v>
      </c>
      <c r="V49" s="11" t="str">
        <v>All</v>
      </c>
      <c r="X49">
        <f t="shared" ca="1" si="4"/>
        <v>4.7664702213532369E-2</v>
      </c>
      <c r="Z49" s="17">
        <f t="shared" ca="1" si="5"/>
        <v>46213</v>
      </c>
      <c r="AG49" s="33">
        <f t="shared" ca="1" si="6"/>
        <v>5.8194341033572516E-2</v>
      </c>
      <c r="AH49">
        <f t="shared" ca="1" si="7"/>
        <v>6.4503060317309027E-2</v>
      </c>
      <c r="AI49">
        <f t="shared" ca="1" si="8"/>
        <v>6.5694573829808145E-2</v>
      </c>
      <c r="AJ49">
        <f t="shared" ca="1" si="9"/>
        <v>6.6577997658391785E-2</v>
      </c>
      <c r="AK49">
        <f t="shared" ca="1" si="10"/>
        <v>6.7558287655411609E-2</v>
      </c>
    </row>
    <row r="50" spans="1:37" ht="17.25" customHeight="1">
      <c r="A50" s="19"/>
      <c r="B50" s="45" t="s">
        <v>90</v>
      </c>
      <c r="C50" s="28" t="s">
        <v>35</v>
      </c>
      <c r="D50" s="28" t="s">
        <v>27</v>
      </c>
      <c r="E50" s="28" t="s">
        <v>44</v>
      </c>
      <c r="F50" s="28" t="s">
        <v>46</v>
      </c>
      <c r="G50" s="28" t="s">
        <v>38</v>
      </c>
      <c r="H50" s="66" t="str">
        <f>HYPERLINK("https://innovativeincomeinvestor.com/security/annaly-capital-management-675-series-i-fixed-to-floating-rate-cumulative-redeemable-preferred-stock/","NLY-I")</f>
        <v>NLY-I</v>
      </c>
      <c r="I50" s="47">
        <v>6.7500000000000004E-2</v>
      </c>
      <c r="J50" s="65">
        <f ca="1">IFERROR(__xludf.DUMMYFUNCTION("GoogleFinance(H50)"),25.44)</f>
        <v>25.44</v>
      </c>
      <c r="K50" s="67">
        <f ca="1">IFERROR(__xludf.DUMMYFUNCTION("googlefinance(H50,""change"")"),0.01)</f>
        <v>0.01</v>
      </c>
      <c r="L50" s="52" t="s">
        <v>47</v>
      </c>
      <c r="M50" s="52" t="s">
        <v>47</v>
      </c>
      <c r="N50" s="28" t="s">
        <v>31</v>
      </c>
      <c r="O50" s="28" t="s">
        <v>32</v>
      </c>
      <c r="P50" s="28" t="s">
        <v>32</v>
      </c>
      <c r="Q50" s="52" t="s">
        <v>47</v>
      </c>
      <c r="R50" s="64">
        <v>45473</v>
      </c>
      <c r="S50" s="54" t="s">
        <v>41</v>
      </c>
      <c r="T50" s="62" t="s">
        <v>42</v>
      </c>
      <c r="U50" s="16">
        <f t="shared" ca="1" si="32"/>
        <v>-1.0273972602739727</v>
      </c>
      <c r="V50" s="11" t="str">
        <v>All</v>
      </c>
      <c r="X50">
        <f t="shared" ca="1" si="4"/>
        <v>4.9353779838345831E-2</v>
      </c>
      <c r="Z50" s="17">
        <f t="shared" ca="1" si="5"/>
        <v>46213</v>
      </c>
      <c r="AG50" s="33">
        <f t="shared" ca="1" si="6"/>
        <v>5.8114981923286693E-2</v>
      </c>
      <c r="AH50">
        <f t="shared" ca="1" si="7"/>
        <v>6.3363136366176201E-2</v>
      </c>
      <c r="AI50">
        <f t="shared" ca="1" si="8"/>
        <v>6.4354678229005619E-2</v>
      </c>
      <c r="AJ50">
        <f t="shared" ca="1" si="9"/>
        <v>6.5090351946918992E-2</v>
      </c>
      <c r="AK50">
        <f t="shared" ca="1" si="10"/>
        <v>6.590866134214679E-2</v>
      </c>
    </row>
    <row r="51" spans="1:37" ht="17.25" customHeight="1">
      <c r="A51" s="19"/>
      <c r="B51" s="45" t="s">
        <v>90</v>
      </c>
      <c r="C51" s="28" t="s">
        <v>35</v>
      </c>
      <c r="D51" s="28" t="s">
        <v>27</v>
      </c>
      <c r="E51" s="28" t="s">
        <v>44</v>
      </c>
      <c r="F51" s="28" t="s">
        <v>46</v>
      </c>
      <c r="G51" s="28" t="s">
        <v>38</v>
      </c>
      <c r="H51" s="63" t="str">
        <f>HYPERLINK("https://innovativeincomeinvestor.com/security/annaly-capital-management-series-g-6-50-fixed-to-floating-rate-cumulative-redeemable-preferred-stock/","NLY-G")</f>
        <v>NLY-G</v>
      </c>
      <c r="I51" s="47">
        <v>6.5000000000000002E-2</v>
      </c>
      <c r="J51" s="65">
        <f ca="1">IFERROR(__xludf.DUMMYFUNCTION("GoogleFinance(H51)"),25.31)</f>
        <v>25.31</v>
      </c>
      <c r="K51" s="67">
        <f ca="1">IFERROR(__xludf.DUMMYFUNCTION("googlefinance(H51,""change"")"),0.01)</f>
        <v>0.01</v>
      </c>
      <c r="L51" s="52" t="s">
        <v>47</v>
      </c>
      <c r="M51" s="52" t="s">
        <v>47</v>
      </c>
      <c r="N51" s="28" t="s">
        <v>31</v>
      </c>
      <c r="O51" s="28" t="s">
        <v>32</v>
      </c>
      <c r="P51" s="28" t="s">
        <v>32</v>
      </c>
      <c r="Q51" s="52" t="s">
        <v>47</v>
      </c>
      <c r="R51" s="64">
        <v>45016</v>
      </c>
      <c r="S51" s="54" t="s">
        <v>41</v>
      </c>
      <c r="T51" s="62" t="s">
        <v>42</v>
      </c>
      <c r="U51" s="16">
        <f t="shared" ca="1" si="32"/>
        <v>-2.2794520547945205</v>
      </c>
      <c r="V51" s="11" t="str">
        <v>All</v>
      </c>
      <c r="X51">
        <f t="shared" ca="1" si="4"/>
        <v>5.2192883378225946E-2</v>
      </c>
      <c r="Z51" s="17">
        <f t="shared" ca="1" si="5"/>
        <v>46213</v>
      </c>
      <c r="AG51" s="33">
        <f t="shared" ca="1" si="6"/>
        <v>5.8385875210069764E-2</v>
      </c>
      <c r="AH51">
        <f t="shared" ca="1" si="7"/>
        <v>6.2094378393815874E-2</v>
      </c>
      <c r="AI51">
        <f t="shared" ca="1" si="8"/>
        <v>6.2795276812865175E-2</v>
      </c>
      <c r="AJ51">
        <f t="shared" ca="1" si="9"/>
        <v>6.3315773150269192E-2</v>
      </c>
      <c r="AK51">
        <f t="shared" ca="1" si="10"/>
        <v>6.3896373608745671E-2</v>
      </c>
    </row>
    <row r="52" spans="1:37" ht="17.25" customHeight="1">
      <c r="A52" s="19"/>
      <c r="B52" s="45" t="s">
        <v>91</v>
      </c>
      <c r="C52" s="36" t="s">
        <v>27</v>
      </c>
      <c r="D52" s="36" t="s">
        <v>27</v>
      </c>
      <c r="E52" s="36" t="s">
        <v>54</v>
      </c>
      <c r="F52" s="36" t="s">
        <v>61</v>
      </c>
      <c r="G52" s="28" t="s">
        <v>30</v>
      </c>
      <c r="H52" s="23" t="str">
        <f>HYPERLINK("https://innovativeincomeinvestor.com/security/apollo-global-management-7-625-fixed-rate-resettable-jr-subordinated-notes-due-2053/","APOS")</f>
        <v>APOS</v>
      </c>
      <c r="I52" s="47">
        <v>7.6249999999999998E-2</v>
      </c>
      <c r="J52" s="65">
        <f ca="1">IFERROR(__xludf.DUMMYFUNCTION("GoogleFinance(H52)"),26.53)</f>
        <v>26.53</v>
      </c>
      <c r="K52" s="48">
        <f ca="1">IFERROR(__xludf.DUMMYFUNCTION("googlefinance(H52,""change"")"),0.14)</f>
        <v>0.14000000000000001</v>
      </c>
      <c r="L52" s="27">
        <f ca="1">(Q52*4)/J52</f>
        <v>7.2370900866943075E-2</v>
      </c>
      <c r="M52" s="27">
        <f t="array" aca="1" ref="M52" ca="1">L52*U52+(25-J52)/25/U52</f>
        <v>0.2308252595479274</v>
      </c>
      <c r="N52" s="28" t="s">
        <v>39</v>
      </c>
      <c r="O52" s="28" t="s">
        <v>50</v>
      </c>
      <c r="P52" s="28" t="s">
        <v>92</v>
      </c>
      <c r="Q52" s="29">
        <v>0.48</v>
      </c>
      <c r="R52" s="53">
        <v>47102</v>
      </c>
      <c r="S52" s="61">
        <v>56142</v>
      </c>
      <c r="T52" s="50" t="s">
        <v>52</v>
      </c>
      <c r="U52" s="16">
        <f t="shared" ca="1" si="32"/>
        <v>3.4356164383561643</v>
      </c>
      <c r="V52" s="11" t="str">
        <v>All</v>
      </c>
      <c r="X52">
        <f t="shared" ca="1" si="4"/>
        <v>1.449457964164003E-2</v>
      </c>
      <c r="Z52" s="17">
        <f t="shared" ca="1" si="5"/>
        <v>46213</v>
      </c>
      <c r="AG52" s="33">
        <f t="shared" ca="1" si="6"/>
        <v>4.4112015590412258E-2</v>
      </c>
      <c r="AH52">
        <f t="shared" ca="1" si="7"/>
        <v>6.1916818665239161E-2</v>
      </c>
      <c r="AI52">
        <f t="shared" ca="1" si="8"/>
        <v>6.5280532263441299E-2</v>
      </c>
      <c r="AJ52">
        <f t="shared" ca="1" si="9"/>
        <v>6.7770206392492191E-2</v>
      </c>
      <c r="AK52">
        <f t="shared" ca="1" si="10"/>
        <v>7.0515565959153051E-2</v>
      </c>
    </row>
    <row r="53" spans="1:37" ht="17.25" customHeight="1">
      <c r="A53" s="19"/>
      <c r="B53" s="45" t="s">
        <v>93</v>
      </c>
      <c r="C53" s="36" t="s">
        <v>35</v>
      </c>
      <c r="D53" s="36" t="s">
        <v>35</v>
      </c>
      <c r="E53" s="36" t="s">
        <v>67</v>
      </c>
      <c r="F53" s="36" t="s">
        <v>29</v>
      </c>
      <c r="G53" s="28" t="s">
        <v>38</v>
      </c>
      <c r="H53" s="46" t="str">
        <f>HYPERLINK("https://innovativeincomeinvestor.com/security/aplied-uv-inc-10-5-series-a-cumulative-perpetual-preferred-stock/","AUVIP")</f>
        <v>AUVIP</v>
      </c>
      <c r="I53" s="47">
        <v>0.105</v>
      </c>
      <c r="J53" s="67" t="s">
        <v>94</v>
      </c>
      <c r="K53" s="67" t="s">
        <v>94</v>
      </c>
      <c r="L53" s="95" t="s">
        <v>94</v>
      </c>
      <c r="M53" s="95" t="s">
        <v>94</v>
      </c>
      <c r="N53" s="28" t="s">
        <v>31</v>
      </c>
      <c r="O53" s="28" t="s">
        <v>32</v>
      </c>
      <c r="P53" s="28" t="s">
        <v>32</v>
      </c>
      <c r="Q53" s="29">
        <v>0.66</v>
      </c>
      <c r="R53" s="53">
        <v>44758</v>
      </c>
      <c r="S53" s="54" t="s">
        <v>41</v>
      </c>
      <c r="T53" s="62" t="s">
        <v>95</v>
      </c>
      <c r="U53" s="16">
        <f t="shared" ca="1" si="32"/>
        <v>-2.9863013698630136</v>
      </c>
      <c r="V53" s="11" t="str">
        <v>All</v>
      </c>
      <c r="X53" t="e">
        <f t="shared" ca="1" si="4"/>
        <v>#VALUE!</v>
      </c>
      <c r="Z53" s="17">
        <f t="shared" ca="1" si="5"/>
        <v>46213</v>
      </c>
      <c r="AG53" s="33" t="e">
        <f t="shared" ca="1" si="6"/>
        <v>#VALUE!</v>
      </c>
      <c r="AH53" t="e">
        <f t="shared" ca="1" si="7"/>
        <v>#VALUE!</v>
      </c>
      <c r="AI53" t="e">
        <f t="shared" ca="1" si="8"/>
        <v>#VALUE!</v>
      </c>
      <c r="AJ53" t="e">
        <f t="shared" ca="1" si="9"/>
        <v>#VALUE!</v>
      </c>
      <c r="AK53" t="e">
        <f t="shared" ca="1" si="10"/>
        <v>#VALUE!</v>
      </c>
    </row>
    <row r="54" spans="1:37" ht="17.25" customHeight="1">
      <c r="A54" s="19"/>
      <c r="B54" s="45" t="s">
        <v>96</v>
      </c>
      <c r="C54" s="28" t="s">
        <v>35</v>
      </c>
      <c r="D54" s="28" t="s">
        <v>27</v>
      </c>
      <c r="E54" s="28" t="s">
        <v>44</v>
      </c>
      <c r="F54" s="36" t="s">
        <v>29</v>
      </c>
      <c r="G54" s="28" t="s">
        <v>38</v>
      </c>
      <c r="H54" s="46" t="str">
        <f>HYPERLINK("https://innovativeincomeinvestor.com/security/14993/","ABR-D")</f>
        <v>ABR-D</v>
      </c>
      <c r="I54" s="85">
        <v>6.3750000000000001E-2</v>
      </c>
      <c r="J54" s="96">
        <f ca="1">IFERROR(__xludf.DUMMYFUNCTION("GoogleFinance(H54)"),18.04)</f>
        <v>18.04</v>
      </c>
      <c r="K54" s="57">
        <f ca="1">IFERROR(__xludf.DUMMYFUNCTION("googlefinance(H54,""change"")"),-0.21)</f>
        <v>-0.21</v>
      </c>
      <c r="L54" s="97">
        <f t="shared" ref="L54:L60" ca="1" si="33">(Q54*4)/J54</f>
        <v>8.8691796008869186E-2</v>
      </c>
      <c r="M54" s="97">
        <f t="shared" ref="M54:M56" ca="1" si="34">L54*U54+(25-J54)/25/U54</f>
        <v>0.39021042315305077</v>
      </c>
      <c r="N54" s="28" t="s">
        <v>31</v>
      </c>
      <c r="O54" s="28" t="s">
        <v>32</v>
      </c>
      <c r="P54" s="28" t="s">
        <v>32</v>
      </c>
      <c r="Q54" s="29">
        <v>0.4</v>
      </c>
      <c r="R54" s="53">
        <v>46175</v>
      </c>
      <c r="S54" s="54" t="s">
        <v>41</v>
      </c>
      <c r="T54" s="62" t="s">
        <v>45</v>
      </c>
      <c r="U54" s="16">
        <f t="shared" ca="1" si="32"/>
        <v>0.89589041095890409</v>
      </c>
      <c r="V54" s="11" t="str">
        <v>All</v>
      </c>
      <c r="X54">
        <f t="shared" ca="1" si="4"/>
        <v>0.41860113139852217</v>
      </c>
      <c r="Z54" s="17">
        <f t="shared" ca="1" si="5"/>
        <v>46213</v>
      </c>
      <c r="AG54" s="33">
        <f t="shared" ca="1" si="6"/>
        <v>0.24374462833816848</v>
      </c>
      <c r="AH54">
        <f t="shared" ca="1" si="7"/>
        <v>0.14259394147500132</v>
      </c>
      <c r="AI54">
        <f t="shared" ca="1" si="8"/>
        <v>0.12382178838679492</v>
      </c>
      <c r="AJ54">
        <f t="shared" ca="1" si="9"/>
        <v>0.11001600532924453</v>
      </c>
      <c r="AK54">
        <f t="shared" ca="1" si="10"/>
        <v>9.4973264255699255E-2</v>
      </c>
    </row>
    <row r="55" spans="1:37" ht="17.25" customHeight="1">
      <c r="A55" s="19"/>
      <c r="B55" s="45" t="s">
        <v>96</v>
      </c>
      <c r="C55" s="28" t="s">
        <v>35</v>
      </c>
      <c r="D55" s="28" t="s">
        <v>27</v>
      </c>
      <c r="E55" s="28" t="s">
        <v>44</v>
      </c>
      <c r="F55" s="36" t="s">
        <v>29</v>
      </c>
      <c r="G55" s="28" t="s">
        <v>38</v>
      </c>
      <c r="H55" s="55" t="str">
        <f>HYPERLINK("https://innovativeincomeinvestor.com/security/arbor-realty-trust-inc-6-25-series-e-cumulative-redeemable-preferred-stock/","ABR-E")</f>
        <v>ABR-E</v>
      </c>
      <c r="I55" s="85">
        <v>6.25E-2</v>
      </c>
      <c r="J55" s="96">
        <f ca="1">IFERROR(__xludf.DUMMYFUNCTION("GoogleFinance(H55)"),17.75)</f>
        <v>17.75</v>
      </c>
      <c r="K55" s="57">
        <f ca="1">IFERROR(__xludf.DUMMYFUNCTION("googlefinance(H55,""change"")"),-0.01)</f>
        <v>-0.01</v>
      </c>
      <c r="L55" s="97">
        <f t="shared" ca="1" si="33"/>
        <v>8.8112676056338032E-2</v>
      </c>
      <c r="M55" s="97">
        <f t="shared" ca="1" si="34"/>
        <v>0.36246230813680258</v>
      </c>
      <c r="N55" s="28" t="s">
        <v>31</v>
      </c>
      <c r="O55" s="28" t="s">
        <v>32</v>
      </c>
      <c r="P55" s="28" t="s">
        <v>32</v>
      </c>
      <c r="Q55" s="29">
        <v>0.39100000000000001</v>
      </c>
      <c r="R55" s="53">
        <v>46245</v>
      </c>
      <c r="S55" s="54" t="s">
        <v>41</v>
      </c>
      <c r="T55" s="62" t="s">
        <v>45</v>
      </c>
      <c r="U55" s="16">
        <f t="shared" ca="1" si="32"/>
        <v>1.0876712328767124</v>
      </c>
      <c r="V55" s="11" t="str">
        <v>All</v>
      </c>
      <c r="X55">
        <f t="shared" ca="1" si="4"/>
        <v>0.43550107150458922</v>
      </c>
      <c r="Z55" s="17">
        <f t="shared" ca="1" si="5"/>
        <v>46213</v>
      </c>
      <c r="AG55" s="33">
        <f t="shared" ca="1" si="6"/>
        <v>0.25141752558930186</v>
      </c>
      <c r="AH55">
        <f t="shared" ca="1" si="7"/>
        <v>0.14509250815195723</v>
      </c>
      <c r="AI55">
        <f t="shared" ca="1" si="8"/>
        <v>0.12536935153550607</v>
      </c>
      <c r="AJ55">
        <f t="shared" ca="1" si="9"/>
        <v>0.1108620685739897</v>
      </c>
      <c r="AK55">
        <f t="shared" ca="1" si="10"/>
        <v>9.5039338432350351E-2</v>
      </c>
    </row>
    <row r="56" spans="1:37" ht="17.25" customHeight="1">
      <c r="A56" s="19"/>
      <c r="B56" s="45" t="s">
        <v>96</v>
      </c>
      <c r="C56" s="28" t="s">
        <v>35</v>
      </c>
      <c r="D56" s="28" t="s">
        <v>27</v>
      </c>
      <c r="E56" s="28" t="s">
        <v>44</v>
      </c>
      <c r="F56" s="36" t="s">
        <v>46</v>
      </c>
      <c r="G56" s="28" t="s">
        <v>38</v>
      </c>
      <c r="H56" s="83" t="str">
        <f>HYPERLINK("https://innovativeincomeinvestor.com/security/arbor-realty-trust-inc-6-25-fixed-to-floating-rate-cumulative-redeemable-preferred-stock/","ABR-F")</f>
        <v>ABR-F</v>
      </c>
      <c r="I56" s="85">
        <v>6.25E-2</v>
      </c>
      <c r="J56" s="96">
        <f ca="1">IFERROR(__xludf.DUMMYFUNCTION("GoogleFinance(H56)"),21)</f>
        <v>21</v>
      </c>
      <c r="K56" s="57">
        <f ca="1">IFERROR(__xludf.DUMMYFUNCTION("googlefinance(H56,""change"")"),-0.17)</f>
        <v>-0.17</v>
      </c>
      <c r="L56" s="97">
        <f t="shared" ca="1" si="33"/>
        <v>7.4476190476190474E-2</v>
      </c>
      <c r="M56" s="97">
        <f t="shared" ca="1" si="34"/>
        <v>0.21976102434081241</v>
      </c>
      <c r="N56" s="28" t="s">
        <v>31</v>
      </c>
      <c r="O56" s="28" t="s">
        <v>32</v>
      </c>
      <c r="P56" s="28" t="s">
        <v>32</v>
      </c>
      <c r="Q56" s="29">
        <v>0.39100000000000001</v>
      </c>
      <c r="R56" s="53">
        <v>46325</v>
      </c>
      <c r="S56" s="54" t="s">
        <v>41</v>
      </c>
      <c r="T56" s="62" t="s">
        <v>45</v>
      </c>
      <c r="U56" s="16">
        <f t="shared" ca="1" si="32"/>
        <v>1.3068493150684932</v>
      </c>
      <c r="V56" s="11" t="str">
        <v>All</v>
      </c>
      <c r="X56">
        <f t="shared" ca="1" si="4"/>
        <v>0.24805049293616993</v>
      </c>
      <c r="Z56" s="17">
        <f t="shared" ca="1" si="5"/>
        <v>46213</v>
      </c>
      <c r="AG56" s="33">
        <f t="shared" ca="1" si="6"/>
        <v>0.15729228508471635</v>
      </c>
      <c r="AH56">
        <f t="shared" ca="1" si="7"/>
        <v>0.10395570893990753</v>
      </c>
      <c r="AI56">
        <f t="shared" ca="1" si="8"/>
        <v>9.3967893896137286E-2</v>
      </c>
      <c r="AJ56">
        <f t="shared" ca="1" si="9"/>
        <v>8.6584229153746708E-2</v>
      </c>
      <c r="AK56">
        <f t="shared" ca="1" si="10"/>
        <v>7.8417587105282988E-2</v>
      </c>
    </row>
    <row r="57" spans="1:37" ht="17.25" customHeight="1">
      <c r="A57" s="19"/>
      <c r="B57" s="45" t="s">
        <v>97</v>
      </c>
      <c r="C57" s="28" t="s">
        <v>27</v>
      </c>
      <c r="D57" s="28" t="s">
        <v>35</v>
      </c>
      <c r="E57" s="28" t="s">
        <v>28</v>
      </c>
      <c r="F57" s="36" t="s">
        <v>29</v>
      </c>
      <c r="G57" s="28" t="s">
        <v>38</v>
      </c>
      <c r="H57" s="63" t="str">
        <f>HYPERLINK("https://innovativeincomeinvestor.com/security/arch-capital-5-45-non-cumulative-preferred-shares-series-f/","ACGLO")</f>
        <v>ACGLO</v>
      </c>
      <c r="I57" s="85">
        <v>5.45E-2</v>
      </c>
      <c r="J57" s="65">
        <f ca="1">IFERROR(__xludf.DUMMYFUNCTION("GoogleFinance(H57)"),20.52)</f>
        <v>20.52</v>
      </c>
      <c r="K57" s="48">
        <f ca="1">IFERROR(__xludf.DUMMYFUNCTION("googlefinance(H57,""change"")"),-0.18)</f>
        <v>-0.18</v>
      </c>
      <c r="L57" s="27">
        <f t="shared" ca="1" si="33"/>
        <v>6.6398635477582846E-2</v>
      </c>
      <c r="M57" s="27">
        <f ca="1">(25-J57)/25</f>
        <v>0.17920000000000003</v>
      </c>
      <c r="N57" s="28" t="s">
        <v>39</v>
      </c>
      <c r="O57" s="28" t="s">
        <v>50</v>
      </c>
      <c r="P57" s="28" t="s">
        <v>64</v>
      </c>
      <c r="Q57" s="29">
        <f>(I57*25)/4</f>
        <v>0.34062500000000001</v>
      </c>
      <c r="R57" s="53">
        <v>44790</v>
      </c>
      <c r="S57" s="54" t="s">
        <v>41</v>
      </c>
      <c r="T57" s="62" t="s">
        <v>42</v>
      </c>
      <c r="U57" s="16">
        <f t="shared" ca="1" si="32"/>
        <v>-2.8986301369863012</v>
      </c>
      <c r="V57" s="11" t="str">
        <v>All</v>
      </c>
      <c r="X57">
        <f t="shared" ca="1" si="4"/>
        <v>0.26424042075317045</v>
      </c>
      <c r="Z57" s="17">
        <f t="shared" ca="1" si="5"/>
        <v>46213</v>
      </c>
      <c r="AG57" s="33">
        <f t="shared" ca="1" si="6"/>
        <v>0.16108390959780325</v>
      </c>
      <c r="AH57">
        <f t="shared" ca="1" si="7"/>
        <v>0.10056087281023038</v>
      </c>
      <c r="AI57">
        <f t="shared" ca="1" si="8"/>
        <v>8.9215086673682858E-2</v>
      </c>
      <c r="AJ57">
        <f t="shared" ca="1" si="9"/>
        <v>8.0804819255226035E-2</v>
      </c>
      <c r="AK57">
        <f t="shared" ca="1" si="10"/>
        <v>7.1403412394521068E-2</v>
      </c>
    </row>
    <row r="58" spans="1:37" ht="17.25" customHeight="1">
      <c r="A58" s="19"/>
      <c r="B58" s="45" t="s">
        <v>97</v>
      </c>
      <c r="C58" s="36" t="s">
        <v>27</v>
      </c>
      <c r="D58" s="36" t="s">
        <v>35</v>
      </c>
      <c r="E58" s="36" t="s">
        <v>28</v>
      </c>
      <c r="F58" s="36" t="s">
        <v>29</v>
      </c>
      <c r="G58" s="28" t="s">
        <v>38</v>
      </c>
      <c r="H58" s="55" t="str">
        <f>HYPERLINK("https://innovativeincomeinvestor.com/security/arch-capital-group-inc-4-55-non-cumulative-preferred-shares-series-g/","ACGLN")</f>
        <v>ACGLN</v>
      </c>
      <c r="I58" s="85">
        <v>4.5499999999999999E-2</v>
      </c>
      <c r="J58" s="65">
        <f ca="1">IFERROR(__xludf.DUMMYFUNCTION("GoogleFinance(H58)"),16.81)</f>
        <v>16.809999999999999</v>
      </c>
      <c r="K58" s="48">
        <f ca="1">IFERROR(__xludf.DUMMYFUNCTION("googlefinance(H58,""change"")"),-0.13)</f>
        <v>-0.13</v>
      </c>
      <c r="L58" s="27">
        <f t="shared" ca="1" si="33"/>
        <v>6.6627007733491977E-2</v>
      </c>
      <c r="M58" s="27">
        <f t="array" aca="1" ref="M58" ca="1">L58*U58+(25-J58)/25/U58</f>
        <v>0.41720835506425569</v>
      </c>
      <c r="N58" s="28" t="s">
        <v>39</v>
      </c>
      <c r="O58" s="28" t="s">
        <v>50</v>
      </c>
      <c r="P58" s="28" t="s">
        <v>32</v>
      </c>
      <c r="Q58" s="29">
        <v>0.28000000000000003</v>
      </c>
      <c r="R58" s="53">
        <v>46184</v>
      </c>
      <c r="S58" s="54" t="s">
        <v>41</v>
      </c>
      <c r="T58" s="62" t="s">
        <v>42</v>
      </c>
      <c r="U58" s="16">
        <f t="shared" ca="1" si="32"/>
        <v>0.92054794520547945</v>
      </c>
      <c r="V58" s="11" t="str">
        <v>All</v>
      </c>
      <c r="X58">
        <f t="shared" ca="1" si="4"/>
        <v>0.4760265251055204</v>
      </c>
      <c r="Z58" s="17">
        <f t="shared" ca="1" si="5"/>
        <v>46213</v>
      </c>
      <c r="AG58" s="33">
        <f t="shared" ca="1" si="6"/>
        <v>0.26090789595121233</v>
      </c>
      <c r="AH58">
        <f t="shared" ca="1" si="7"/>
        <v>0.13714093863429078</v>
      </c>
      <c r="AI58">
        <f t="shared" ca="1" si="8"/>
        <v>0.11412169373377293</v>
      </c>
      <c r="AJ58">
        <f t="shared" ca="1" si="9"/>
        <v>9.7077818524107282E-2</v>
      </c>
      <c r="AK58">
        <f t="shared" ca="1" si="10"/>
        <v>7.7987450623639862E-2</v>
      </c>
    </row>
    <row r="59" spans="1:37" ht="17.25" customHeight="1">
      <c r="A59" s="19"/>
      <c r="B59" s="45" t="s">
        <v>98</v>
      </c>
      <c r="C59" s="28" t="s">
        <v>27</v>
      </c>
      <c r="D59" s="28" t="s">
        <v>35</v>
      </c>
      <c r="E59" s="28" t="s">
        <v>28</v>
      </c>
      <c r="F59" s="36" t="s">
        <v>29</v>
      </c>
      <c r="G59" s="28" t="s">
        <v>30</v>
      </c>
      <c r="H59" s="51" t="str">
        <f>HYPERLINK("http://innovativeincomeinvestor.com/security/argo-group-us-inc-6-50-senior-notes-due-2042/","ARGD")</f>
        <v>ARGD</v>
      </c>
      <c r="I59" s="47">
        <v>6.5000000000000002E-2</v>
      </c>
      <c r="J59" s="56">
        <f ca="1">IFERROR(__xludf.DUMMYFUNCTION("importxml(""https://bigcharts.marketwatch.com/quickchart/quickchart.asp?symb=ARGD&amp;insttype=Stock"",""/html/body/div[1]/div[2]/table/tbody/tr/td[1]/table/tbody/tr[3]/td[1]/div"")"),20.2142)</f>
        <v>20.214200000000002</v>
      </c>
      <c r="K59" s="26" t="s">
        <v>49</v>
      </c>
      <c r="L59" s="27">
        <f t="shared" ca="1" si="33"/>
        <v>8.1131086068209471E-2</v>
      </c>
      <c r="M59" s="27">
        <f ca="1">(25-J59)/25</f>
        <v>0.19143199999999994</v>
      </c>
      <c r="N59" s="28" t="s">
        <v>39</v>
      </c>
      <c r="O59" s="28" t="s">
        <v>55</v>
      </c>
      <c r="P59" s="28" t="s">
        <v>32</v>
      </c>
      <c r="Q59" s="65">
        <v>0.41</v>
      </c>
      <c r="R59" s="64">
        <v>42993</v>
      </c>
      <c r="S59" s="64">
        <v>52124</v>
      </c>
      <c r="T59" s="62" t="s">
        <v>52</v>
      </c>
      <c r="U59" s="16">
        <f t="shared" ca="1" si="32"/>
        <v>-7.8219178082191778</v>
      </c>
      <c r="V59" s="11" t="str">
        <v>All</v>
      </c>
      <c r="X59">
        <f t="shared" ca="1" si="4"/>
        <v>0.2926850172031058</v>
      </c>
      <c r="Z59" s="17">
        <f t="shared" ca="1" si="5"/>
        <v>46213</v>
      </c>
      <c r="AG59" s="33">
        <f t="shared" ca="1" si="6"/>
        <v>0.18123867667200405</v>
      </c>
      <c r="AH59">
        <f t="shared" ca="1" si="7"/>
        <v>0.11601656557342736</v>
      </c>
      <c r="AI59">
        <f t="shared" ca="1" si="8"/>
        <v>0.10383869314148966</v>
      </c>
      <c r="AJ59">
        <f t="shared" ca="1" si="9"/>
        <v>9.4856180894162243E-2</v>
      </c>
      <c r="AK59">
        <f t="shared" ca="1" si="10"/>
        <v>8.4992283988275838E-2</v>
      </c>
    </row>
    <row r="60" spans="1:37" ht="17.25" customHeight="1">
      <c r="A60" s="19"/>
      <c r="B60" s="45" t="s">
        <v>98</v>
      </c>
      <c r="C60" s="28" t="s">
        <v>27</v>
      </c>
      <c r="D60" s="28" t="s">
        <v>35</v>
      </c>
      <c r="E60" s="28" t="s">
        <v>28</v>
      </c>
      <c r="F60" s="36" t="s">
        <v>61</v>
      </c>
      <c r="G60" s="28" t="s">
        <v>38</v>
      </c>
      <c r="H60" s="90" t="str">
        <f>HYPERLINK("https://innovativeincomeinvestor.com/security/argo-group-7-00-resettable-fixed-rate-preference-shares/","ARGO-A")</f>
        <v>ARGO-A</v>
      </c>
      <c r="I60" s="47">
        <v>7.0000000000000007E-2</v>
      </c>
      <c r="J60" s="54">
        <f ca="1">IFERROR(__xludf.DUMMYFUNCTION("GoogleFinance(H60)"),25.13)</f>
        <v>25.13</v>
      </c>
      <c r="K60" s="26" t="s">
        <v>49</v>
      </c>
      <c r="L60" s="27">
        <f t="shared" ca="1" si="33"/>
        <v>7.0035813768404301E-2</v>
      </c>
      <c r="M60" s="27">
        <f t="array" aca="1" ref="M60" ca="1">L60*U60+(25-J60)/25/U60</f>
        <v>-1.5472469106261615E-2</v>
      </c>
      <c r="N60" s="28" t="s">
        <v>39</v>
      </c>
      <c r="O60" s="28" t="s">
        <v>30</v>
      </c>
      <c r="P60" s="28" t="s">
        <v>32</v>
      </c>
      <c r="Q60" s="29">
        <v>0.44</v>
      </c>
      <c r="R60" s="64">
        <v>45915</v>
      </c>
      <c r="S60" s="28" t="s">
        <v>41</v>
      </c>
      <c r="T60" s="62" t="s">
        <v>52</v>
      </c>
      <c r="U60" s="16">
        <f t="shared" ca="1" si="32"/>
        <v>0.18356164383561643</v>
      </c>
      <c r="V60" s="11" t="str">
        <v>All</v>
      </c>
      <c r="X60">
        <f t="shared" ca="1" si="4"/>
        <v>6.458840659998509E-2</v>
      </c>
      <c r="Z60" s="17">
        <f t="shared" ca="1" si="5"/>
        <v>46213</v>
      </c>
      <c r="AG60" s="33">
        <f t="shared" ca="1" si="6"/>
        <v>6.7199621725321471E-2</v>
      </c>
      <c r="AH60">
        <f t="shared" ca="1" si="7"/>
        <v>6.8761203134513046E-2</v>
      </c>
      <c r="AI60">
        <f t="shared" ca="1" si="8"/>
        <v>6.9055744080435008E-2</v>
      </c>
      <c r="AJ60">
        <f t="shared" ca="1" si="9"/>
        <v>6.9274205669494326E-2</v>
      </c>
      <c r="AK60">
        <f t="shared" ca="1" si="10"/>
        <v>6.9515853065253416E-2</v>
      </c>
    </row>
    <row r="61" spans="1:37" ht="17.25" customHeight="1">
      <c r="A61" s="68"/>
      <c r="B61" s="69" t="s">
        <v>99</v>
      </c>
      <c r="C61" s="28" t="s">
        <v>27</v>
      </c>
      <c r="D61" s="28" t="s">
        <v>27</v>
      </c>
      <c r="E61" s="28" t="s">
        <v>44</v>
      </c>
      <c r="F61" s="36" t="s">
        <v>29</v>
      </c>
      <c r="G61" s="28" t="s">
        <v>30</v>
      </c>
      <c r="H61" s="66" t="str">
        <f>HYPERLINK("http://innovativeincomeinvestor.com/security/arlington-asset-investment/","AIC")</f>
        <v>AIC</v>
      </c>
      <c r="I61" s="47">
        <v>6.7500000000000004E-2</v>
      </c>
      <c r="J61" s="98" t="s">
        <v>100</v>
      </c>
      <c r="K61" s="99" t="s">
        <v>100</v>
      </c>
      <c r="L61" s="99" t="s">
        <v>100</v>
      </c>
      <c r="M61" s="99" t="s">
        <v>100</v>
      </c>
      <c r="N61" s="28" t="s">
        <v>31</v>
      </c>
      <c r="O61" s="28" t="s">
        <v>32</v>
      </c>
      <c r="P61" s="28" t="s">
        <v>32</v>
      </c>
      <c r="Q61" s="65">
        <v>0.42</v>
      </c>
      <c r="R61" s="64">
        <v>43174</v>
      </c>
      <c r="S61" s="64">
        <v>45731</v>
      </c>
      <c r="T61" s="62" t="s">
        <v>52</v>
      </c>
      <c r="U61" s="16">
        <f t="shared" ca="1" si="32"/>
        <v>-7.3260273972602743</v>
      </c>
      <c r="V61" s="11" t="str">
        <v>All</v>
      </c>
      <c r="X61" t="e">
        <f t="shared" ca="1" si="4"/>
        <v>#VALUE!</v>
      </c>
      <c r="Z61" s="17">
        <f t="shared" ca="1" si="5"/>
        <v>46213</v>
      </c>
      <c r="AG61" s="33" t="e">
        <f t="shared" ca="1" si="6"/>
        <v>#VALUE!</v>
      </c>
      <c r="AH61" t="e">
        <f t="shared" ca="1" si="7"/>
        <v>#VALUE!</v>
      </c>
      <c r="AI61" t="e">
        <f t="shared" ca="1" si="8"/>
        <v>#VALUE!</v>
      </c>
      <c r="AJ61" t="e">
        <f t="shared" ca="1" si="9"/>
        <v>#VALUE!</v>
      </c>
      <c r="AK61" t="e">
        <f t="shared" ca="1" si="10"/>
        <v>#VALUE!</v>
      </c>
    </row>
    <row r="62" spans="1:37" ht="17.25" customHeight="1">
      <c r="A62" s="19"/>
      <c r="B62" s="45" t="s">
        <v>99</v>
      </c>
      <c r="C62" s="28" t="s">
        <v>27</v>
      </c>
      <c r="D62" s="28" t="s">
        <v>27</v>
      </c>
      <c r="E62" s="28" t="s">
        <v>44</v>
      </c>
      <c r="F62" s="28" t="s">
        <v>29</v>
      </c>
      <c r="G62" s="28" t="s">
        <v>30</v>
      </c>
      <c r="H62" s="55" t="str">
        <f>HYPERLINK("https://innovativeincomeinvestor.com/security/arlington-asset-investment-corp-6-00-senior-notes-due-2026/","AAIN")</f>
        <v>AAIN</v>
      </c>
      <c r="I62" s="47">
        <v>0.06</v>
      </c>
      <c r="J62" s="98" t="s">
        <v>100</v>
      </c>
      <c r="K62" s="99" t="s">
        <v>100</v>
      </c>
      <c r="L62" s="99" t="s">
        <v>100</v>
      </c>
      <c r="M62" s="99" t="s">
        <v>100</v>
      </c>
      <c r="N62" s="28" t="s">
        <v>31</v>
      </c>
      <c r="O62" s="28" t="s">
        <v>32</v>
      </c>
      <c r="P62" s="28" t="s">
        <v>32</v>
      </c>
      <c r="Q62" s="29">
        <v>0.38</v>
      </c>
      <c r="R62" s="64">
        <v>45139</v>
      </c>
      <c r="S62" s="82">
        <v>46235</v>
      </c>
      <c r="T62" s="62" t="s">
        <v>101</v>
      </c>
      <c r="U62" s="16">
        <f t="shared" ca="1" si="32"/>
        <v>-1.9424657534246574</v>
      </c>
      <c r="V62" s="11" t="str">
        <v>All</v>
      </c>
      <c r="X62" t="e">
        <f t="shared" ca="1" si="4"/>
        <v>#VALUE!</v>
      </c>
      <c r="Z62" s="17">
        <f t="shared" ca="1" si="5"/>
        <v>46213</v>
      </c>
      <c r="AG62" s="33" t="e">
        <f t="shared" ca="1" si="6"/>
        <v>#VALUE!</v>
      </c>
      <c r="AH62" t="e">
        <f t="shared" ca="1" si="7"/>
        <v>#VALUE!</v>
      </c>
      <c r="AI62" t="e">
        <f t="shared" ca="1" si="8"/>
        <v>#VALUE!</v>
      </c>
      <c r="AJ62" t="e">
        <f t="shared" ca="1" si="9"/>
        <v>#VALUE!</v>
      </c>
      <c r="AK62" t="e">
        <f t="shared" ca="1" si="10"/>
        <v>#VALUE!</v>
      </c>
    </row>
    <row r="63" spans="1:37" ht="17.25" customHeight="1">
      <c r="A63" s="19"/>
      <c r="B63" s="45" t="s">
        <v>102</v>
      </c>
      <c r="C63" s="28" t="s">
        <v>35</v>
      </c>
      <c r="D63" s="28" t="s">
        <v>27</v>
      </c>
      <c r="E63" s="28" t="s">
        <v>63</v>
      </c>
      <c r="F63" s="36" t="s">
        <v>29</v>
      </c>
      <c r="G63" s="28" t="s">
        <v>38</v>
      </c>
      <c r="H63" s="66" t="str">
        <f>HYPERLINK("https://innovativeincomeinvestor.com/security/amada-hoffler-properties-inc-6-75-series-a-cumulative-redeemable-perpetual-preferred-stock/","AHH-A")</f>
        <v>AHH-A</v>
      </c>
      <c r="I63" s="47">
        <v>6.7500000000000004E-2</v>
      </c>
      <c r="J63" s="26">
        <f ca="1">IFERROR(__xludf.DUMMYFUNCTION("GOOGLEFINANCE(H63)"),21.51)</f>
        <v>21.51</v>
      </c>
      <c r="K63" s="26">
        <f ca="1">IFERROR(__xludf.DUMMYFUNCTION("GOOGLEFINANCE(H63,""change"")"),0.01)</f>
        <v>0.01</v>
      </c>
      <c r="L63" s="27">
        <f ca="1">Q63*4/J63</f>
        <v>7.8475127847512774E-2</v>
      </c>
      <c r="M63" s="27">
        <f t="array" aca="1" ref="M63" ca="1">L63*U63+(25-J63)/25/U63</f>
        <v>-0.21486921824072869</v>
      </c>
      <c r="N63" s="28" t="s">
        <v>31</v>
      </c>
      <c r="O63" s="28" t="s">
        <v>32</v>
      </c>
      <c r="P63" s="28" t="s">
        <v>32</v>
      </c>
      <c r="Q63" s="65">
        <v>0.42199999999999999</v>
      </c>
      <c r="R63" s="64">
        <v>45461</v>
      </c>
      <c r="S63" s="28" t="s">
        <v>41</v>
      </c>
      <c r="T63" s="62" t="s">
        <v>60</v>
      </c>
      <c r="U63" s="16">
        <f t="shared" ca="1" si="32"/>
        <v>-1.0602739726027397</v>
      </c>
      <c r="V63" s="11" t="str">
        <v>All</v>
      </c>
      <c r="X63">
        <f t="shared" ca="1" si="4"/>
        <v>0.22749768494598926</v>
      </c>
      <c r="Z63" s="17">
        <f t="shared" ca="1" si="5"/>
        <v>46213</v>
      </c>
      <c r="AG63" s="33">
        <f t="shared" ca="1" si="6"/>
        <v>0.1495451585486457</v>
      </c>
      <c r="AH63">
        <f t="shared" ca="1" si="7"/>
        <v>0.10364344852535655</v>
      </c>
      <c r="AI63">
        <f t="shared" ca="1" si="8"/>
        <v>9.5049890580305371E-2</v>
      </c>
      <c r="AJ63">
        <f t="shared" ca="1" si="9"/>
        <v>8.8706711374131123E-2</v>
      </c>
      <c r="AK63">
        <f t="shared" ca="1" si="10"/>
        <v>8.1734650145165608E-2</v>
      </c>
    </row>
    <row r="64" spans="1:37" ht="17.25" customHeight="1">
      <c r="A64" s="19"/>
      <c r="B64" s="100" t="s">
        <v>103</v>
      </c>
      <c r="C64" s="71" t="s">
        <v>35</v>
      </c>
      <c r="D64" s="71" t="s">
        <v>27</v>
      </c>
      <c r="E64" s="71" t="s">
        <v>44</v>
      </c>
      <c r="F64" s="71" t="s">
        <v>29</v>
      </c>
      <c r="G64" s="71" t="s">
        <v>38</v>
      </c>
      <c r="H64" s="101" t="str">
        <f>HYPERLINK("https://innovativeincomeinvestor.com/security/armour-residential-reit-inc-7-00-series-c-cumulative-redeemable-preferred-stock/","ARR-C")</f>
        <v>ARR-C</v>
      </c>
      <c r="I64" s="73">
        <v>7.0000000000000007E-2</v>
      </c>
      <c r="J64" s="102">
        <f ca="1">IFERROR(__xludf.DUMMYFUNCTION("GOOGLEFINANCE(H64)"),21.24)</f>
        <v>21.24</v>
      </c>
      <c r="K64" s="102">
        <f ca="1">IFERROR(__xludf.DUMMYFUNCTION("GOOGLEFINANCE(H64,""change"")"),-0.02)</f>
        <v>-0.02</v>
      </c>
      <c r="L64" s="75">
        <f ca="1">Q64*12/J64</f>
        <v>8.239171374764595E-2</v>
      </c>
      <c r="M64" s="27">
        <f t="shared" ref="M64:M69" ca="1" si="35">(25-J64)/25</f>
        <v>0.15040000000000006</v>
      </c>
      <c r="N64" s="71" t="s">
        <v>31</v>
      </c>
      <c r="O64" s="71" t="s">
        <v>32</v>
      </c>
      <c r="P64" s="71" t="s">
        <v>32</v>
      </c>
      <c r="Q64" s="76">
        <f>(I64*25)/12</f>
        <v>0.14583333333333334</v>
      </c>
      <c r="R64" s="77">
        <v>45685</v>
      </c>
      <c r="S64" s="71" t="s">
        <v>41</v>
      </c>
      <c r="T64" s="78" t="s">
        <v>104</v>
      </c>
      <c r="U64" s="16">
        <f t="shared" ca="1" si="32"/>
        <v>-0.44657534246575342</v>
      </c>
      <c r="V64" s="11" t="str">
        <v>All</v>
      </c>
      <c r="X64">
        <f t="shared" ca="1" si="4"/>
        <v>0.2440159550127817</v>
      </c>
      <c r="Z64" s="17">
        <f t="shared" ca="1" si="5"/>
        <v>46213</v>
      </c>
      <c r="AG64" s="33">
        <f t="shared" ca="1" si="6"/>
        <v>0.15928874819820696</v>
      </c>
      <c r="AH64">
        <f t="shared" ca="1" si="7"/>
        <v>0.10947558759122264</v>
      </c>
      <c r="AI64">
        <f t="shared" ca="1" si="8"/>
        <v>0.10016413062056746</v>
      </c>
      <c r="AJ64">
        <f t="shared" ca="1" si="9"/>
        <v>9.3301768960890819E-2</v>
      </c>
      <c r="AK64">
        <f t="shared" ca="1" si="10"/>
        <v>8.5799304406964552E-2</v>
      </c>
    </row>
    <row r="65" spans="1:37" ht="17.25" customHeight="1">
      <c r="A65" s="19"/>
      <c r="B65" s="103" t="s">
        <v>105</v>
      </c>
      <c r="C65" s="28" t="s">
        <v>35</v>
      </c>
      <c r="D65" s="28" t="s">
        <v>27</v>
      </c>
      <c r="E65" s="28" t="s">
        <v>106</v>
      </c>
      <c r="F65" s="36" t="s">
        <v>29</v>
      </c>
      <c r="G65" s="28" t="s">
        <v>38</v>
      </c>
      <c r="H65" s="90" t="str">
        <f>HYPERLINK("https://innovativeincomeinvestor.com/security/ashford-hospitality-trust-8-45-series-d-cumulative-preferred-stock/","AHT-D")</f>
        <v>AHT-D</v>
      </c>
      <c r="I65" s="104">
        <v>8.4500000000000006E-2</v>
      </c>
      <c r="J65" s="26">
        <f ca="1">IFERROR(__xludf.DUMMYFUNCTION("GOOGLEFINANCE(H65)"),18.39)</f>
        <v>18.39</v>
      </c>
      <c r="K65" s="26">
        <f ca="1">IFERROR(__xludf.DUMMYFUNCTION("GOOGLEFINANCE(H65,""change"")"),-1.02)</f>
        <v>-1.02</v>
      </c>
      <c r="L65" s="27">
        <f t="shared" ref="L65:L69" ca="1" si="36">Q65*4/J65</f>
        <v>0.11487221315932573</v>
      </c>
      <c r="M65" s="27">
        <f t="shared" ca="1" si="35"/>
        <v>0.26439999999999997</v>
      </c>
      <c r="N65" s="28" t="s">
        <v>31</v>
      </c>
      <c r="O65" s="28" t="s">
        <v>32</v>
      </c>
      <c r="P65" s="28" t="s">
        <v>32</v>
      </c>
      <c r="Q65" s="105">
        <f t="shared" ref="Q65:Q70" si="37">(I65*25)/4</f>
        <v>0.52812500000000007</v>
      </c>
      <c r="R65" s="106">
        <v>41108</v>
      </c>
      <c r="S65" s="28" t="s">
        <v>41</v>
      </c>
      <c r="T65" s="62" t="s">
        <v>60</v>
      </c>
      <c r="U65" s="16"/>
      <c r="V65" s="11" t="str">
        <v>All</v>
      </c>
      <c r="X65">
        <f t="shared" ca="1" si="4"/>
        <v>0.42214991022084092</v>
      </c>
      <c r="Z65" s="17">
        <f t="shared" ca="1" si="5"/>
        <v>46213</v>
      </c>
      <c r="AG65" s="33">
        <f t="shared" ca="1" si="6"/>
        <v>0.25782821259348582</v>
      </c>
      <c r="AH65">
        <f t="shared" ca="1" si="7"/>
        <v>0.16283659445537679</v>
      </c>
      <c r="AI65">
        <f t="shared" ca="1" si="8"/>
        <v>0.14534233375721459</v>
      </c>
      <c r="AJ65">
        <f t="shared" ca="1" si="9"/>
        <v>0.13263030391510253</v>
      </c>
      <c r="AK65">
        <f t="shared" ca="1" si="10"/>
        <v>0.11938735540346407</v>
      </c>
    </row>
    <row r="66" spans="1:37" ht="17.25" customHeight="1">
      <c r="A66" s="19"/>
      <c r="B66" s="103" t="s">
        <v>105</v>
      </c>
      <c r="C66" s="28" t="s">
        <v>35</v>
      </c>
      <c r="D66" s="28" t="s">
        <v>27</v>
      </c>
      <c r="E66" s="28" t="s">
        <v>106</v>
      </c>
      <c r="F66" s="36" t="s">
        <v>29</v>
      </c>
      <c r="G66" s="28" t="s">
        <v>38</v>
      </c>
      <c r="H66" s="90" t="str">
        <f>HYPERLINK("https://innovativeincomeinvestor.com/security/ashford-hospitality-trust-7-375-series-g-cumulative-preferred-stock/","AHT-G")</f>
        <v>AHT-G</v>
      </c>
      <c r="I66" s="104">
        <v>7.3749999999999996E-2</v>
      </c>
      <c r="J66" s="26">
        <f ca="1">IFERROR(__xludf.DUMMYFUNCTION("GOOGLEFINANCE(H66)"),16.25)</f>
        <v>16.25</v>
      </c>
      <c r="K66" s="26">
        <f ca="1">IFERROR(__xludf.DUMMYFUNCTION("GOOGLEFINANCE(H66,""change"")"),0.71)</f>
        <v>0.71</v>
      </c>
      <c r="L66" s="27">
        <f t="shared" ca="1" si="36"/>
        <v>0.11346153846153846</v>
      </c>
      <c r="M66" s="27">
        <f t="shared" ca="1" si="35"/>
        <v>0.35</v>
      </c>
      <c r="N66" s="28" t="s">
        <v>31</v>
      </c>
      <c r="O66" s="28" t="s">
        <v>32</v>
      </c>
      <c r="P66" s="28" t="s">
        <v>32</v>
      </c>
      <c r="Q66" s="105">
        <f t="shared" si="37"/>
        <v>0.4609375</v>
      </c>
      <c r="R66" s="106">
        <v>44486</v>
      </c>
      <c r="S66" s="28" t="s">
        <v>41</v>
      </c>
      <c r="T66" s="62" t="s">
        <v>60</v>
      </c>
      <c r="U66" s="16"/>
      <c r="V66" s="11" t="str">
        <v>All</v>
      </c>
      <c r="X66">
        <f t="shared" ca="1" si="4"/>
        <v>0.55235552261565646</v>
      </c>
      <c r="Z66" s="17">
        <f t="shared" ca="1" si="5"/>
        <v>46213</v>
      </c>
      <c r="AG66" s="33">
        <f t="shared" ca="1" si="6"/>
        <v>0.31658100637649617</v>
      </c>
      <c r="AH66">
        <f t="shared" ca="1" si="7"/>
        <v>0.18184249411583692</v>
      </c>
      <c r="AI66">
        <f t="shared" ca="1" si="8"/>
        <v>0.15710296293313519</v>
      </c>
      <c r="AJ66">
        <f t="shared" ca="1" si="9"/>
        <v>0.13909367744053058</v>
      </c>
      <c r="AK66">
        <f t="shared" ca="1" si="10"/>
        <v>0.12015904895084109</v>
      </c>
    </row>
    <row r="67" spans="1:37" ht="17.25" customHeight="1">
      <c r="A67" s="19"/>
      <c r="B67" s="103" t="s">
        <v>105</v>
      </c>
      <c r="C67" s="28" t="s">
        <v>35</v>
      </c>
      <c r="D67" s="28" t="s">
        <v>27</v>
      </c>
      <c r="E67" s="28" t="s">
        <v>106</v>
      </c>
      <c r="F67" s="36" t="s">
        <v>29</v>
      </c>
      <c r="G67" s="28" t="s">
        <v>38</v>
      </c>
      <c r="H67" s="90" t="str">
        <f>HYPERLINK("https://innovativeincomeinvestor.com/security/ashford-hospitality-trust-7-50-2/","AHT-H")</f>
        <v>AHT-H</v>
      </c>
      <c r="I67" s="104">
        <v>7.4999999999999997E-2</v>
      </c>
      <c r="J67" s="26">
        <f ca="1">IFERROR(__xludf.DUMMYFUNCTION("GOOGLEFINANCE(H67)"),13.86)</f>
        <v>13.86</v>
      </c>
      <c r="K67" s="26">
        <f ca="1">IFERROR(__xludf.DUMMYFUNCTION("GOOGLEFINANCE(H67,""change"")"),0)</f>
        <v>0</v>
      </c>
      <c r="L67" s="27">
        <f t="shared" ca="1" si="36"/>
        <v>0.13528138528138528</v>
      </c>
      <c r="M67" s="27">
        <f t="shared" ca="1" si="35"/>
        <v>0.4456</v>
      </c>
      <c r="N67" s="28" t="s">
        <v>31</v>
      </c>
      <c r="O67" s="28" t="s">
        <v>32</v>
      </c>
      <c r="P67" s="28" t="s">
        <v>32</v>
      </c>
      <c r="Q67" s="105">
        <f t="shared" si="37"/>
        <v>0.46875</v>
      </c>
      <c r="R67" s="106">
        <v>44798</v>
      </c>
      <c r="S67" s="28" t="s">
        <v>41</v>
      </c>
      <c r="T67" s="62" t="s">
        <v>60</v>
      </c>
      <c r="U67" s="16"/>
      <c r="V67" s="11" t="str">
        <v>All</v>
      </c>
      <c r="X67">
        <f t="shared" ref="X67:X130" ca="1" si="38">YIELD($W$1,Z67,I67,J67*4,100,4,0)</f>
        <v>0.74597015919374032</v>
      </c>
      <c r="Z67" s="17">
        <f t="shared" ref="Z67:Z130" ca="1" si="39">TODAY()+($Z$1*$Y$1)</f>
        <v>46213</v>
      </c>
      <c r="AG67" s="33">
        <f t="shared" ref="AG67:AG130" ca="1" si="40">YIELD($W$1,$AA$2,I67,J67*4,100,4,0)</f>
        <v>0.41309098468226818</v>
      </c>
      <c r="AH67">
        <f t="shared" ref="AH67:AH130" ca="1" si="41">YIELD($W$1,$AB$2,I67,J67*4,100,4,0)</f>
        <v>0.22608112012418047</v>
      </c>
      <c r="AI67">
        <f t="shared" ref="AI67:AI130" ca="1" si="42">YIELD($W$1,$AC$2,I67,J67*4,100,4,0)</f>
        <v>0.19213873872545476</v>
      </c>
      <c r="AJ67">
        <f t="shared" ref="AJ67:AJ130" ca="1" si="43">YIELD($W$1,$AD$2,I67,J67*4,100,4,0)</f>
        <v>0.16765082926342248</v>
      </c>
      <c r="AK67">
        <f t="shared" ref="AK67:AK130" ca="1" si="44">YIELD($W$1,$AE$2,I67,J67*4,100,4,0)</f>
        <v>0.14268596659232077</v>
      </c>
    </row>
    <row r="68" spans="1:37" ht="17.25" customHeight="1">
      <c r="A68" s="19"/>
      <c r="B68" s="103" t="s">
        <v>105</v>
      </c>
      <c r="C68" s="28" t="s">
        <v>35</v>
      </c>
      <c r="D68" s="28" t="s">
        <v>27</v>
      </c>
      <c r="E68" s="28" t="s">
        <v>106</v>
      </c>
      <c r="F68" s="36" t="s">
        <v>29</v>
      </c>
      <c r="G68" s="28" t="s">
        <v>38</v>
      </c>
      <c r="H68" s="90" t="str">
        <f>HYPERLINK("https://innovativeincomeinvestor.com/security/ashford-hospitality-trust-7-50/","AHT-I")</f>
        <v>AHT-I</v>
      </c>
      <c r="I68" s="104">
        <v>7.4999999999999997E-2</v>
      </c>
      <c r="J68" s="26">
        <f ca="1">IFERROR(__xludf.DUMMYFUNCTION("GOOGLEFINANCE(H68)"),13.35)</f>
        <v>13.35</v>
      </c>
      <c r="K68" s="26">
        <f ca="1">IFERROR(__xludf.DUMMYFUNCTION("GOOGLEFINANCE(H68,""change"")"),0.22)</f>
        <v>0.22</v>
      </c>
      <c r="L68" s="27">
        <f t="shared" ca="1" si="36"/>
        <v>0.1404494382022472</v>
      </c>
      <c r="M68" s="27">
        <f t="shared" ca="1" si="35"/>
        <v>0.46600000000000003</v>
      </c>
      <c r="N68" s="28" t="s">
        <v>31</v>
      </c>
      <c r="O68" s="28" t="s">
        <v>32</v>
      </c>
      <c r="P68" s="28" t="s">
        <v>32</v>
      </c>
      <c r="Q68" s="105">
        <f t="shared" si="37"/>
        <v>0.46875</v>
      </c>
      <c r="R68" s="106">
        <v>44890</v>
      </c>
      <c r="S68" s="28" t="s">
        <v>41</v>
      </c>
      <c r="T68" s="62" t="s">
        <v>60</v>
      </c>
      <c r="U68" s="16"/>
      <c r="V68" s="11" t="str">
        <v>All</v>
      </c>
      <c r="X68">
        <f t="shared" ca="1" si="38"/>
        <v>0.79247839049416158</v>
      </c>
      <c r="Z68" s="17">
        <f t="shared" ca="1" si="39"/>
        <v>46213</v>
      </c>
      <c r="AG68" s="33">
        <f t="shared" ca="1" si="40"/>
        <v>0.43588738682114903</v>
      </c>
      <c r="AH68">
        <f t="shared" ca="1" si="41"/>
        <v>0.23635900541704799</v>
      </c>
      <c r="AI68">
        <f t="shared" ca="1" si="42"/>
        <v>0.20024276255524989</v>
      </c>
      <c r="AJ68">
        <f t="shared" ca="1" si="43"/>
        <v>0.17424225136503135</v>
      </c>
      <c r="AK68">
        <f t="shared" ca="1" si="44"/>
        <v>0.14793508278397535</v>
      </c>
    </row>
    <row r="69" spans="1:37" ht="17.25" customHeight="1">
      <c r="A69" s="19"/>
      <c r="B69" s="103" t="s">
        <v>105</v>
      </c>
      <c r="C69" s="28" t="s">
        <v>35</v>
      </c>
      <c r="D69" s="28" t="s">
        <v>27</v>
      </c>
      <c r="E69" s="28" t="s">
        <v>106</v>
      </c>
      <c r="F69" s="36" t="s">
        <v>29</v>
      </c>
      <c r="G69" s="28" t="s">
        <v>38</v>
      </c>
      <c r="H69" s="90" t="str">
        <f>HYPERLINK("https://innovativeincomeinvestor.com/security/ashford-hospitality-trust-7-375-series-f-cumulative-preferred-stock/","AHT-F")</f>
        <v>AHT-F</v>
      </c>
      <c r="I69" s="104">
        <v>7.3749999999999996E-2</v>
      </c>
      <c r="J69" s="26">
        <f ca="1">IFERROR(__xludf.DUMMYFUNCTION("GOOGLEFINANCE(H69)"),13.05)</f>
        <v>13.05</v>
      </c>
      <c r="K69" s="26">
        <f ca="1">IFERROR(__xludf.DUMMYFUNCTION("GOOGLEFINANCE(H69,""change"")"),-0.2)</f>
        <v>-0.2</v>
      </c>
      <c r="L69" s="27">
        <f t="shared" ca="1" si="36"/>
        <v>0.14128352490421456</v>
      </c>
      <c r="M69" s="27">
        <f t="shared" ca="1" si="35"/>
        <v>0.47799999999999998</v>
      </c>
      <c r="N69" s="28" t="s">
        <v>31</v>
      </c>
      <c r="O69" s="28" t="s">
        <v>32</v>
      </c>
      <c r="P69" s="28" t="s">
        <v>32</v>
      </c>
      <c r="Q69" s="105">
        <f t="shared" si="37"/>
        <v>0.4609375</v>
      </c>
      <c r="R69" s="106">
        <v>44392</v>
      </c>
      <c r="S69" s="28" t="s">
        <v>41</v>
      </c>
      <c r="T69" s="62" t="s">
        <v>60</v>
      </c>
      <c r="U69" s="16"/>
      <c r="V69" s="11" t="str">
        <v>All</v>
      </c>
      <c r="X69">
        <f t="shared" ca="1" si="38"/>
        <v>0.81898972293182271</v>
      </c>
      <c r="Z69" s="17">
        <f t="shared" ca="1" si="39"/>
        <v>46213</v>
      </c>
      <c r="AG69" s="33">
        <f t="shared" ca="1" si="40"/>
        <v>0.44791887921953716</v>
      </c>
      <c r="AH69">
        <f t="shared" ca="1" si="41"/>
        <v>0.24074629503951608</v>
      </c>
      <c r="AI69">
        <f t="shared" ca="1" si="42"/>
        <v>0.2032786487923918</v>
      </c>
      <c r="AJ69">
        <f t="shared" ca="1" si="43"/>
        <v>0.17630853538659072</v>
      </c>
      <c r="AK69">
        <f t="shared" ca="1" si="44"/>
        <v>0.14902282742135198</v>
      </c>
    </row>
    <row r="70" spans="1:37" ht="17.25" customHeight="1">
      <c r="A70" s="19"/>
      <c r="B70" s="45" t="s">
        <v>107</v>
      </c>
      <c r="C70" s="28" t="s">
        <v>27</v>
      </c>
      <c r="D70" s="28" t="s">
        <v>35</v>
      </c>
      <c r="E70" s="28" t="s">
        <v>28</v>
      </c>
      <c r="F70" s="36" t="s">
        <v>29</v>
      </c>
      <c r="G70" s="28" t="s">
        <v>38</v>
      </c>
      <c r="H70" s="66" t="str">
        <f>HYPERLINK("https://innovativeincomeinvestor.com/security/aspen-insurance-holdings-ltd-5-625-perpetual-non-cumulative-preference-shares/","AHL-D")</f>
        <v>AHL-D</v>
      </c>
      <c r="I70" s="47">
        <v>5.6250000000000001E-2</v>
      </c>
      <c r="J70" s="25">
        <f ca="1">IFERROR(__xludf.DUMMYFUNCTION("GoogleFinance(H70)"),19.83)</f>
        <v>19.829999999999998</v>
      </c>
      <c r="K70" s="107">
        <f ca="1">IFERROR(__xludf.DUMMYFUNCTION("googlefinance(H70,""change"")"),-0.16)</f>
        <v>-0.16</v>
      </c>
      <c r="L70" s="108">
        <f t="shared" ref="L70:L72" ca="1" si="45">(Q70*4)/J70</f>
        <v>7.0915279878971269E-2</v>
      </c>
      <c r="M70" s="108">
        <f t="shared" ref="M70:M72" ca="1" si="46">L70*U70+(25-J70)/25/U70</f>
        <v>0.24469723801475407</v>
      </c>
      <c r="N70" s="28" t="s">
        <v>31</v>
      </c>
      <c r="O70" s="28" t="s">
        <v>69</v>
      </c>
      <c r="P70" s="28" t="s">
        <v>83</v>
      </c>
      <c r="Q70" s="29">
        <f t="shared" si="37"/>
        <v>0.3515625</v>
      </c>
      <c r="R70" s="64">
        <v>46388</v>
      </c>
      <c r="S70" s="54" t="s">
        <v>41</v>
      </c>
      <c r="T70" s="62" t="s">
        <v>74</v>
      </c>
      <c r="U70" s="16">
        <f t="shared" ref="U70:U202" ca="1" si="47">(R70-TODAY())/365</f>
        <v>1.4794520547945205</v>
      </c>
      <c r="V70" s="11" t="str">
        <v>All</v>
      </c>
      <c r="X70">
        <f t="shared" ca="1" si="38"/>
        <v>0.30374334412626525</v>
      </c>
      <c r="Z70" s="17">
        <f t="shared" ca="1" si="39"/>
        <v>46213</v>
      </c>
      <c r="AG70" s="33">
        <f t="shared" ca="1" si="40"/>
        <v>0.1819057310723691</v>
      </c>
      <c r="AH70">
        <f t="shared" ca="1" si="41"/>
        <v>0.11068249954824302</v>
      </c>
      <c r="AI70">
        <f t="shared" ca="1" si="42"/>
        <v>9.7361678793604814E-2</v>
      </c>
      <c r="AJ70">
        <f t="shared" ca="1" si="43"/>
        <v>8.7502873855134153E-2</v>
      </c>
      <c r="AK70">
        <f t="shared" ca="1" si="44"/>
        <v>7.6534816590228982E-2</v>
      </c>
    </row>
    <row r="71" spans="1:37" ht="17.25" customHeight="1">
      <c r="A71" s="19"/>
      <c r="B71" s="45" t="s">
        <v>107</v>
      </c>
      <c r="C71" s="28" t="s">
        <v>27</v>
      </c>
      <c r="D71" s="28" t="s">
        <v>35</v>
      </c>
      <c r="E71" s="28" t="s">
        <v>28</v>
      </c>
      <c r="F71" s="36" t="s">
        <v>29</v>
      </c>
      <c r="G71" s="28" t="s">
        <v>38</v>
      </c>
      <c r="H71" s="23" t="str">
        <f>HYPERLINK("https://innovativeincomeinvestor.com/security/aspen-insurance-holdings-limited-5-625-perpetual-non-cumulative-preference-shares/","AHL-E")</f>
        <v>AHL-E</v>
      </c>
      <c r="I71" s="47">
        <v>5.6250000000000001E-2</v>
      </c>
      <c r="J71" s="65">
        <f ca="1">IFERROR(__xludf.DUMMYFUNCTION("GoogleFinance(H71)"),20.09)</f>
        <v>20.09</v>
      </c>
      <c r="K71" s="67">
        <f ca="1">IFERROR(__xludf.DUMMYFUNCTION("googlefinance(H71,""change"")"),0)</f>
        <v>0</v>
      </c>
      <c r="L71" s="27">
        <f t="shared" ca="1" si="45"/>
        <v>7.0084619213539076E-2</v>
      </c>
      <c r="M71" s="27">
        <f t="shared" ca="1" si="46"/>
        <v>-0.30835324257590097</v>
      </c>
      <c r="N71" s="28" t="s">
        <v>31</v>
      </c>
      <c r="O71" s="28" t="s">
        <v>69</v>
      </c>
      <c r="P71" s="28" t="s">
        <v>83</v>
      </c>
      <c r="Q71" s="65">
        <v>0.35199999999999998</v>
      </c>
      <c r="R71" s="64">
        <v>45566</v>
      </c>
      <c r="S71" s="28" t="s">
        <v>41</v>
      </c>
      <c r="T71" s="62" t="s">
        <v>74</v>
      </c>
      <c r="U71" s="16">
        <f t="shared" ca="1" si="47"/>
        <v>-0.77260273972602744</v>
      </c>
      <c r="V71" s="11" t="str">
        <v>All</v>
      </c>
      <c r="X71">
        <f t="shared" ca="1" si="38"/>
        <v>0.28941479299873002</v>
      </c>
      <c r="Z71" s="17">
        <f t="shared" ca="1" si="39"/>
        <v>46213</v>
      </c>
      <c r="AG71" s="33">
        <f t="shared" ca="1" si="40"/>
        <v>0.17471209445060229</v>
      </c>
      <c r="AH71">
        <f t="shared" ca="1" si="41"/>
        <v>0.1075703865130995</v>
      </c>
      <c r="AI71">
        <f t="shared" ca="1" si="42"/>
        <v>9.5004175755674172E-2</v>
      </c>
      <c r="AJ71">
        <f t="shared" ca="1" si="43"/>
        <v>8.5700735221615656E-2</v>
      </c>
      <c r="AK71">
        <f t="shared" ca="1" si="44"/>
        <v>7.5341667797539341E-2</v>
      </c>
    </row>
    <row r="72" spans="1:37" ht="17.25" customHeight="1">
      <c r="A72" s="19"/>
      <c r="B72" s="45" t="s">
        <v>107</v>
      </c>
      <c r="C72" s="28" t="s">
        <v>27</v>
      </c>
      <c r="D72" s="28" t="s">
        <v>35</v>
      </c>
      <c r="E72" s="28" t="s">
        <v>28</v>
      </c>
      <c r="F72" s="36" t="s">
        <v>29</v>
      </c>
      <c r="G72" s="28" t="s">
        <v>108</v>
      </c>
      <c r="H72" s="51" t="str">
        <f>HYPERLINK("https://innovativeincomeinvestor.com/security/aspen-insurance-holdings-ltd-7-00-perpetual-nn-cumulative-preference-shares/","AHL-F")</f>
        <v>AHL-F</v>
      </c>
      <c r="I72" s="47">
        <v>7.0000000000000007E-2</v>
      </c>
      <c r="J72" s="65">
        <f ca="1">IFERROR(__xludf.DUMMYFUNCTION("GoogleFinance(H72)"),24.2)</f>
        <v>24.2</v>
      </c>
      <c r="K72" s="48">
        <f ca="1">IFERROR(__xludf.DUMMYFUNCTION("googlefinance(H72,""change"")"),0)</f>
        <v>0</v>
      </c>
      <c r="L72" s="27">
        <f t="shared" ca="1" si="45"/>
        <v>7.2314049586776868E-2</v>
      </c>
      <c r="M72" s="27">
        <f t="shared" ca="1" si="46"/>
        <v>0.32506737232544136</v>
      </c>
      <c r="N72" s="28" t="s">
        <v>31</v>
      </c>
      <c r="O72" s="28" t="s">
        <v>69</v>
      </c>
      <c r="P72" s="28" t="s">
        <v>83</v>
      </c>
      <c r="Q72" s="29">
        <v>0.4375</v>
      </c>
      <c r="R72" s="64">
        <v>47452</v>
      </c>
      <c r="S72" s="54" t="s">
        <v>41</v>
      </c>
      <c r="T72" s="62" t="s">
        <v>74</v>
      </c>
      <c r="U72" s="16">
        <f t="shared" ca="1" si="47"/>
        <v>4.3945205479452056</v>
      </c>
      <c r="V72" s="11" t="str">
        <v>All</v>
      </c>
      <c r="X72">
        <f t="shared" ca="1" si="38"/>
        <v>0.10410892351360471</v>
      </c>
      <c r="Z72" s="17">
        <f t="shared" ca="1" si="39"/>
        <v>46213</v>
      </c>
      <c r="AG72" s="33">
        <f t="shared" ca="1" si="40"/>
        <v>8.7616952659690078E-2</v>
      </c>
      <c r="AH72">
        <f t="shared" ca="1" si="41"/>
        <v>7.7789473216962599E-2</v>
      </c>
      <c r="AI72">
        <f t="shared" ca="1" si="42"/>
        <v>7.5938773094098744E-2</v>
      </c>
      <c r="AJ72">
        <f t="shared" ca="1" si="43"/>
        <v>7.4569665335242827E-2</v>
      </c>
      <c r="AK72">
        <f t="shared" ca="1" si="44"/>
        <v>7.305631622893205E-2</v>
      </c>
    </row>
    <row r="73" spans="1:37" ht="17.25" customHeight="1">
      <c r="A73" s="19"/>
      <c r="B73" s="45" t="s">
        <v>107</v>
      </c>
      <c r="C73" s="28" t="s">
        <v>27</v>
      </c>
      <c r="D73" s="28" t="s">
        <v>35</v>
      </c>
      <c r="E73" s="28" t="s">
        <v>28</v>
      </c>
      <c r="F73" s="28" t="s">
        <v>46</v>
      </c>
      <c r="G73" s="28" t="s">
        <v>38</v>
      </c>
      <c r="H73" s="51" t="str">
        <f>HYPERLINK("https://innovativeincomeinvestor.com/security/aspen-insurance-holdings-ltd-5-95-fixedfloat-perp-non-cumul-preference-shares/","AHL-C")</f>
        <v>AHL-C</v>
      </c>
      <c r="I73" s="47">
        <v>5.9499999999999997E-2</v>
      </c>
      <c r="J73" s="86" t="s">
        <v>68</v>
      </c>
      <c r="K73" s="87" t="s">
        <v>68</v>
      </c>
      <c r="L73" s="109" t="s">
        <v>68</v>
      </c>
      <c r="M73" s="109" t="s">
        <v>68</v>
      </c>
      <c r="N73" s="28" t="s">
        <v>31</v>
      </c>
      <c r="O73" s="28" t="s">
        <v>69</v>
      </c>
      <c r="P73" s="28" t="s">
        <v>83</v>
      </c>
      <c r="Q73" s="52" t="s">
        <v>47</v>
      </c>
      <c r="R73" s="64">
        <v>45108</v>
      </c>
      <c r="S73" s="54" t="s">
        <v>41</v>
      </c>
      <c r="T73" s="62" t="s">
        <v>74</v>
      </c>
      <c r="U73" s="16">
        <f t="shared" ca="1" si="47"/>
        <v>-2.0273972602739727</v>
      </c>
      <c r="V73" s="11" t="str">
        <v>All</v>
      </c>
      <c r="X73" t="e">
        <f t="shared" ca="1" si="38"/>
        <v>#VALUE!</v>
      </c>
      <c r="Z73" s="17">
        <f t="shared" ca="1" si="39"/>
        <v>46213</v>
      </c>
      <c r="AG73" s="33" t="e">
        <f t="shared" ca="1" si="40"/>
        <v>#VALUE!</v>
      </c>
      <c r="AH73" t="e">
        <f t="shared" ca="1" si="41"/>
        <v>#VALUE!</v>
      </c>
      <c r="AI73" t="e">
        <f t="shared" ca="1" si="42"/>
        <v>#VALUE!</v>
      </c>
      <c r="AJ73" t="e">
        <f t="shared" ca="1" si="43"/>
        <v>#VALUE!</v>
      </c>
      <c r="AK73" t="e">
        <f t="shared" ca="1" si="44"/>
        <v>#VALUE!</v>
      </c>
    </row>
    <row r="74" spans="1:37" ht="17.25" customHeight="1">
      <c r="A74" s="19"/>
      <c r="B74" s="45" t="s">
        <v>109</v>
      </c>
      <c r="C74" s="28" t="s">
        <v>27</v>
      </c>
      <c r="D74" s="28" t="s">
        <v>35</v>
      </c>
      <c r="E74" s="28" t="s">
        <v>110</v>
      </c>
      <c r="F74" s="36" t="s">
        <v>29</v>
      </c>
      <c r="G74" s="28" t="s">
        <v>38</v>
      </c>
      <c r="H74" s="110" t="str">
        <f>HYPERLINK("https://innovativeincomeinvestor.com/security/associated-banc-corp-5-875-non-cumulative-perpetual-preferred-stock-series-e/","ASB-E")</f>
        <v>ASB-E</v>
      </c>
      <c r="I74" s="47">
        <v>5.8749999999999997E-2</v>
      </c>
      <c r="J74" s="65">
        <f ca="1">IFERROR(__xludf.DUMMYFUNCTION("GoogleFinance(H74)"),20.77)</f>
        <v>20.77</v>
      </c>
      <c r="K74" s="67">
        <f ca="1">IFERROR(__xludf.DUMMYFUNCTION("googlefinance(H74,""change"")"),-0.27)</f>
        <v>-0.27</v>
      </c>
      <c r="L74" s="27">
        <f t="shared" ref="L74:L75" ca="1" si="48">(I74*25)/J74</f>
        <v>7.0714973519499277E-2</v>
      </c>
      <c r="M74" s="27">
        <f ca="1">(25-J74)/25</f>
        <v>0.16920000000000002</v>
      </c>
      <c r="N74" s="28" t="s">
        <v>31</v>
      </c>
      <c r="O74" s="28" t="s">
        <v>30</v>
      </c>
      <c r="P74" s="28" t="s">
        <v>83</v>
      </c>
      <c r="Q74" s="65">
        <f t="shared" ref="Q74:Q75" si="49">(I74*25)/4</f>
        <v>0.3671875</v>
      </c>
      <c r="R74" s="64">
        <v>45275</v>
      </c>
      <c r="S74" s="28" t="s">
        <v>41</v>
      </c>
      <c r="T74" s="62" t="s">
        <v>52</v>
      </c>
      <c r="U74" s="16">
        <f t="shared" ca="1" si="47"/>
        <v>-1.5698630136986302</v>
      </c>
      <c r="V74" s="11" t="str">
        <v>All</v>
      </c>
      <c r="X74">
        <f t="shared" ca="1" si="38"/>
        <v>0.2558432052475903</v>
      </c>
      <c r="Z74" s="17">
        <f t="shared" ca="1" si="39"/>
        <v>46213</v>
      </c>
      <c r="AG74" s="33">
        <f t="shared" ca="1" si="40"/>
        <v>0.15918955181494202</v>
      </c>
      <c r="AH74">
        <f t="shared" ca="1" si="41"/>
        <v>0.10243270761056303</v>
      </c>
      <c r="AI74">
        <f t="shared" ca="1" si="42"/>
        <v>9.1798869636626576E-2</v>
      </c>
      <c r="AJ74">
        <f t="shared" ca="1" si="43"/>
        <v>8.3927418813349336E-2</v>
      </c>
      <c r="AK74">
        <f t="shared" ca="1" si="44"/>
        <v>7.5176962869751784E-2</v>
      </c>
    </row>
    <row r="75" spans="1:37" ht="17.25" customHeight="1">
      <c r="A75" s="19"/>
      <c r="B75" s="45" t="s">
        <v>109</v>
      </c>
      <c r="C75" s="28" t="s">
        <v>27</v>
      </c>
      <c r="D75" s="28" t="s">
        <v>35</v>
      </c>
      <c r="E75" s="28" t="s">
        <v>110</v>
      </c>
      <c r="F75" s="36" t="s">
        <v>29</v>
      </c>
      <c r="G75" s="28" t="s">
        <v>38</v>
      </c>
      <c r="H75" s="66" t="str">
        <f>HYPERLINK("https://innovativeincomeinvestor.com/security/associated-banc-corp-5-625-non-cumulative-perpetual-preferred-shares-series-f/","ASB-F")</f>
        <v>ASB-F</v>
      </c>
      <c r="I75" s="47">
        <v>5.6250000000000001E-2</v>
      </c>
      <c r="J75" s="65">
        <f ca="1">IFERROR(__xludf.DUMMYFUNCTION("GoogleFinance(H75)"),20)</f>
        <v>20</v>
      </c>
      <c r="K75" s="67">
        <f ca="1">IFERROR(__xludf.DUMMYFUNCTION("googlefinance(H75,""change"")"),0.15)</f>
        <v>0.15</v>
      </c>
      <c r="L75" s="27">
        <f t="shared" ca="1" si="48"/>
        <v>7.03125E-2</v>
      </c>
      <c r="M75" s="27">
        <f t="shared" ref="M75:M76" ca="1" si="50">L75*U75+(25-J75)/25/U75</f>
        <v>1.102458916888162</v>
      </c>
      <c r="N75" s="28" t="s">
        <v>31</v>
      </c>
      <c r="O75" s="28" t="s">
        <v>30</v>
      </c>
      <c r="P75" s="28" t="s">
        <v>83</v>
      </c>
      <c r="Q75" s="65">
        <f t="shared" si="49"/>
        <v>0.3515625</v>
      </c>
      <c r="R75" s="64">
        <v>45915</v>
      </c>
      <c r="S75" s="28" t="s">
        <v>41</v>
      </c>
      <c r="T75" s="62" t="s">
        <v>52</v>
      </c>
      <c r="U75" s="16">
        <f t="shared" ca="1" si="47"/>
        <v>0.18356164383561643</v>
      </c>
      <c r="V75" s="11" t="str">
        <v>All</v>
      </c>
      <c r="X75">
        <f t="shared" ca="1" si="38"/>
        <v>0.29434789123972427</v>
      </c>
      <c r="Z75" s="17">
        <f t="shared" ca="1" si="39"/>
        <v>46213</v>
      </c>
      <c r="AG75" s="33">
        <f t="shared" ca="1" si="40"/>
        <v>0.177189834481779</v>
      </c>
      <c r="AH75">
        <f t="shared" ca="1" si="41"/>
        <v>0.10864234512094227</v>
      </c>
      <c r="AI75">
        <f t="shared" ca="1" si="42"/>
        <v>9.5816107308698065E-2</v>
      </c>
      <c r="AJ75">
        <f t="shared" ca="1" si="43"/>
        <v>8.6321251214051709E-2</v>
      </c>
      <c r="AK75">
        <f t="shared" ca="1" si="44"/>
        <v>7.5752150411369776E-2</v>
      </c>
    </row>
    <row r="76" spans="1:37" ht="17.25" customHeight="1">
      <c r="A76" s="19"/>
      <c r="B76" s="45" t="s">
        <v>111</v>
      </c>
      <c r="C76" s="28" t="s">
        <v>27</v>
      </c>
      <c r="D76" s="28" t="s">
        <v>27</v>
      </c>
      <c r="E76" s="28" t="s">
        <v>28</v>
      </c>
      <c r="F76" s="36" t="s">
        <v>29</v>
      </c>
      <c r="G76" s="28" t="s">
        <v>30</v>
      </c>
      <c r="H76" s="51" t="str">
        <f>HYPERLINK("https://innovativeincomeinvestor.com/security/assurant-inc-5-25-subordinated-notes-due-2061/","AIZN")</f>
        <v>AIZN</v>
      </c>
      <c r="I76" s="47">
        <v>5.2499999999999998E-2</v>
      </c>
      <c r="J76" s="65">
        <f ca="1">IFERROR(__xludf.DUMMYFUNCTION("GoogleFinance(H76)"),20.39)</f>
        <v>20.39</v>
      </c>
      <c r="K76" s="26">
        <f ca="1">IFERROR(__xludf.DUMMYFUNCTION("GOOGLEFINANCE(H76,""change"")"),-0.25)</f>
        <v>-0.25</v>
      </c>
      <c r="L76" s="27">
        <f ca="1">Q76*4/J76</f>
        <v>6.4737616478666007E-2</v>
      </c>
      <c r="M76" s="27">
        <f t="shared" ca="1" si="50"/>
        <v>0.38963807201905382</v>
      </c>
      <c r="N76" s="28" t="s">
        <v>39</v>
      </c>
      <c r="O76" s="28" t="s">
        <v>69</v>
      </c>
      <c r="P76" s="28" t="s">
        <v>83</v>
      </c>
      <c r="Q76" s="65">
        <v>0.33</v>
      </c>
      <c r="R76" s="64">
        <v>46037</v>
      </c>
      <c r="S76" s="64">
        <v>58821</v>
      </c>
      <c r="T76" s="62" t="s">
        <v>60</v>
      </c>
      <c r="U76" s="16">
        <f t="shared" ca="1" si="47"/>
        <v>0.51780821917808217</v>
      </c>
      <c r="V76" s="11" t="str">
        <v>All</v>
      </c>
      <c r="X76">
        <f t="shared" ca="1" si="38"/>
        <v>0.26889734931756043</v>
      </c>
      <c r="Z76" s="17">
        <f t="shared" ca="1" si="39"/>
        <v>46213</v>
      </c>
      <c r="AG76" s="33">
        <f t="shared" ca="1" si="40"/>
        <v>0.16231623357257477</v>
      </c>
      <c r="AH76">
        <f t="shared" ca="1" si="41"/>
        <v>9.9814031074611287E-2</v>
      </c>
      <c r="AI76">
        <f t="shared" ca="1" si="42"/>
        <v>8.8094796660696958E-2</v>
      </c>
      <c r="AJ76">
        <f t="shared" ca="1" si="43"/>
        <v>7.9402341487938941E-2</v>
      </c>
      <c r="AK76">
        <f t="shared" ca="1" si="44"/>
        <v>6.9661396164026668E-2</v>
      </c>
    </row>
    <row r="77" spans="1:37" ht="17.25" customHeight="1">
      <c r="A77" s="19"/>
      <c r="B77" s="45" t="s">
        <v>112</v>
      </c>
      <c r="C77" s="28" t="s">
        <v>27</v>
      </c>
      <c r="D77" s="28" t="s">
        <v>27</v>
      </c>
      <c r="E77" s="28" t="s">
        <v>113</v>
      </c>
      <c r="F77" s="36" t="s">
        <v>29</v>
      </c>
      <c r="G77" s="28" t="s">
        <v>30</v>
      </c>
      <c r="H77" s="66" t="str">
        <f>HYPERLINK("https://innovativeincomeinvestor.com/security/att-5-625-global-notes-due-2067/","TBC")</f>
        <v>TBC</v>
      </c>
      <c r="I77" s="47">
        <v>5.6250000000000001E-2</v>
      </c>
      <c r="J77" s="79" t="s">
        <v>68</v>
      </c>
      <c r="K77" s="80" t="s">
        <v>68</v>
      </c>
      <c r="L77" s="81" t="s">
        <v>68</v>
      </c>
      <c r="M77" s="81" t="s">
        <v>68</v>
      </c>
      <c r="N77" s="28" t="s">
        <v>39</v>
      </c>
      <c r="O77" s="28" t="s">
        <v>50</v>
      </c>
      <c r="P77" s="28" t="s">
        <v>76</v>
      </c>
      <c r="Q77" s="65">
        <v>0.35199999999999998</v>
      </c>
      <c r="R77" s="64">
        <v>45139</v>
      </c>
      <c r="S77" s="64">
        <v>61210</v>
      </c>
      <c r="T77" s="62" t="s">
        <v>101</v>
      </c>
      <c r="U77" s="16">
        <f t="shared" ca="1" si="47"/>
        <v>-1.9424657534246574</v>
      </c>
      <c r="V77" s="11" t="str">
        <v>All</v>
      </c>
      <c r="X77" t="e">
        <f t="shared" ca="1" si="38"/>
        <v>#VALUE!</v>
      </c>
      <c r="Z77" s="17">
        <f t="shared" ca="1" si="39"/>
        <v>46213</v>
      </c>
      <c r="AG77" s="33" t="e">
        <f t="shared" ca="1" si="40"/>
        <v>#VALUE!</v>
      </c>
      <c r="AH77" t="e">
        <f t="shared" ca="1" si="41"/>
        <v>#VALUE!</v>
      </c>
      <c r="AI77" t="e">
        <f t="shared" ca="1" si="42"/>
        <v>#VALUE!</v>
      </c>
      <c r="AJ77" t="e">
        <f t="shared" ca="1" si="43"/>
        <v>#VALUE!</v>
      </c>
      <c r="AK77" t="e">
        <f t="shared" ca="1" si="44"/>
        <v>#VALUE!</v>
      </c>
    </row>
    <row r="78" spans="1:37" ht="17.25" customHeight="1">
      <c r="A78" s="19"/>
      <c r="B78" s="45" t="s">
        <v>112</v>
      </c>
      <c r="C78" s="28" t="s">
        <v>27</v>
      </c>
      <c r="D78" s="28" t="s">
        <v>27</v>
      </c>
      <c r="E78" s="28" t="s">
        <v>113</v>
      </c>
      <c r="F78" s="36" t="s">
        <v>29</v>
      </c>
      <c r="G78" s="28" t="s">
        <v>30</v>
      </c>
      <c r="H78" s="66" t="str">
        <f>HYPERLINK("http://innovativeincomeinvestor.com/security/att-inc-5-35-global-notes-due-1112066/","TBB")</f>
        <v>TBB</v>
      </c>
      <c r="I78" s="47">
        <v>5.3499999999999999E-2</v>
      </c>
      <c r="J78" s="26">
        <f ca="1">IFERROR(__xludf.DUMMYFUNCTION("GOOGLEFINANCE(H78)"),22.84)</f>
        <v>22.84</v>
      </c>
      <c r="K78" s="26">
        <f ca="1">IFERROR(__xludf.DUMMYFUNCTION("GOOGLEFINANCE(H78,""change"")"),0.05)</f>
        <v>0.05</v>
      </c>
      <c r="L78" s="27">
        <f t="shared" ref="L78:L83" ca="1" si="51">(Q78*4)/J78</f>
        <v>5.7793345008756568E-2</v>
      </c>
      <c r="M78" s="27">
        <f t="shared" ref="M78:M79" ca="1" si="52">(25-J78)/25</f>
        <v>8.6400000000000005E-2</v>
      </c>
      <c r="N78" s="28" t="s">
        <v>39</v>
      </c>
      <c r="O78" s="28" t="s">
        <v>50</v>
      </c>
      <c r="P78" s="28" t="s">
        <v>76</v>
      </c>
      <c r="Q78" s="65">
        <v>0.33</v>
      </c>
      <c r="R78" s="64">
        <v>44866</v>
      </c>
      <c r="S78" s="64">
        <v>60937</v>
      </c>
      <c r="T78" s="62" t="s">
        <v>101</v>
      </c>
      <c r="U78" s="16">
        <f t="shared" ca="1" si="47"/>
        <v>-2.6904109589041094</v>
      </c>
      <c r="V78" s="11" t="str">
        <v>All</v>
      </c>
      <c r="X78">
        <f t="shared" ca="1" si="38"/>
        <v>0.14803932826269584</v>
      </c>
      <c r="Z78" s="17">
        <f t="shared" ca="1" si="39"/>
        <v>46213</v>
      </c>
      <c r="AG78" s="33">
        <f t="shared" ca="1" si="40"/>
        <v>0.10179203181182198</v>
      </c>
      <c r="AH78">
        <f t="shared" ca="1" si="41"/>
        <v>7.4358443981970251E-2</v>
      </c>
      <c r="AI78">
        <f t="shared" ca="1" si="42"/>
        <v>6.9185635065293016E-2</v>
      </c>
      <c r="AJ78">
        <f t="shared" ca="1" si="43"/>
        <v>6.5340224271869141E-2</v>
      </c>
      <c r="AK78">
        <f t="shared" ca="1" si="44"/>
        <v>6.1010110614313912E-2</v>
      </c>
    </row>
    <row r="79" spans="1:37" ht="17.25" customHeight="1">
      <c r="A79" s="19"/>
      <c r="B79" s="45" t="s">
        <v>112</v>
      </c>
      <c r="C79" s="28" t="s">
        <v>35</v>
      </c>
      <c r="D79" s="28" t="s">
        <v>35</v>
      </c>
      <c r="E79" s="28" t="s">
        <v>113</v>
      </c>
      <c r="F79" s="28" t="s">
        <v>29</v>
      </c>
      <c r="G79" s="28" t="s">
        <v>38</v>
      </c>
      <c r="H79" s="46" t="str">
        <f>HYPERLINK("https://innovativeincomeinvestor.com/security/att-inc-5-00-perpetual-preferred-stock-series-a/","T-A")</f>
        <v>T-A</v>
      </c>
      <c r="I79" s="47">
        <v>0.05</v>
      </c>
      <c r="J79" s="26">
        <f ca="1">IFERROR(__xludf.DUMMYFUNCTION("GOOGLEFINANCE(H79)"),20.45)</f>
        <v>20.45</v>
      </c>
      <c r="K79" s="26">
        <f ca="1">IFERROR(__xludf.DUMMYFUNCTION("GOOGLEFINANCE(H79,""change"")"),-0.07)</f>
        <v>-7.0000000000000007E-2</v>
      </c>
      <c r="L79" s="27">
        <f t="shared" ca="1" si="51"/>
        <v>6.1124694376528121E-2</v>
      </c>
      <c r="M79" s="27">
        <f t="shared" ca="1" si="52"/>
        <v>0.18200000000000002</v>
      </c>
      <c r="N79" s="28" t="s">
        <v>31</v>
      </c>
      <c r="O79" s="28" t="s">
        <v>69</v>
      </c>
      <c r="P79" s="28" t="s">
        <v>83</v>
      </c>
      <c r="Q79" s="111">
        <f t="shared" ref="Q79:Q80" si="53">(I79*25)/4</f>
        <v>0.3125</v>
      </c>
      <c r="R79" s="64">
        <v>45638</v>
      </c>
      <c r="S79" s="28" t="s">
        <v>41</v>
      </c>
      <c r="T79" s="62" t="s">
        <v>101</v>
      </c>
      <c r="U79" s="16">
        <f t="shared" ca="1" si="47"/>
        <v>-0.57534246575342463</v>
      </c>
      <c r="V79" s="11" t="str">
        <v>All</v>
      </c>
      <c r="X79">
        <f t="shared" ca="1" si="38"/>
        <v>0.26284948026041732</v>
      </c>
      <c r="Z79" s="17">
        <f t="shared" ca="1" si="39"/>
        <v>46213</v>
      </c>
      <c r="AG79" s="33">
        <f t="shared" ca="1" si="40"/>
        <v>0.15789322162096484</v>
      </c>
      <c r="AH79">
        <f t="shared" ca="1" si="41"/>
        <v>9.6313167993338528E-2</v>
      </c>
      <c r="AI79">
        <f t="shared" ca="1" si="42"/>
        <v>8.475759622551042E-2</v>
      </c>
      <c r="AJ79">
        <f t="shared" ca="1" si="43"/>
        <v>7.6178031084887507E-2</v>
      </c>
      <c r="AK79">
        <f t="shared" ca="1" si="44"/>
        <v>6.6529087927272829E-2</v>
      </c>
    </row>
    <row r="80" spans="1:37" ht="17.25" customHeight="1">
      <c r="A80" s="19"/>
      <c r="B80" s="45" t="s">
        <v>112</v>
      </c>
      <c r="C80" s="28" t="s">
        <v>35</v>
      </c>
      <c r="D80" s="28" t="s">
        <v>35</v>
      </c>
      <c r="E80" s="28" t="s">
        <v>113</v>
      </c>
      <c r="F80" s="28" t="s">
        <v>29</v>
      </c>
      <c r="G80" s="28" t="s">
        <v>38</v>
      </c>
      <c r="H80" s="83" t="str">
        <f>HYPERLINK("https://innovativeincomeinvestor.com/security/att-4-75-perpetual-preferred-stock-series-c/","T-C")</f>
        <v>T-C</v>
      </c>
      <c r="I80" s="47">
        <v>4.7500000000000001E-2</v>
      </c>
      <c r="J80" s="26">
        <f ca="1">IFERROR(__xludf.DUMMYFUNCTION("GOOGLEFINANCE(H80)"),19.55)</f>
        <v>19.55</v>
      </c>
      <c r="K80" s="26">
        <f ca="1">IFERROR(__xludf.DUMMYFUNCTION("GOOGLEFINANCE(H80,""change"")"),-0.06)</f>
        <v>-0.06</v>
      </c>
      <c r="L80" s="27">
        <f t="shared" ca="1" si="51"/>
        <v>6.0741687979539639E-2</v>
      </c>
      <c r="M80" s="27">
        <f t="shared" ref="M80:M90" ca="1" si="54">L80*U80+(25-J80)/25/U80</f>
        <v>-0.58398312553384968</v>
      </c>
      <c r="N80" s="28" t="s">
        <v>31</v>
      </c>
      <c r="O80" s="28" t="s">
        <v>69</v>
      </c>
      <c r="P80" s="28" t="s">
        <v>83</v>
      </c>
      <c r="Q80" s="111">
        <f t="shared" si="53"/>
        <v>0.296875</v>
      </c>
      <c r="R80" s="64">
        <v>45706</v>
      </c>
      <c r="S80" s="28" t="s">
        <v>41</v>
      </c>
      <c r="T80" s="62" t="s">
        <v>101</v>
      </c>
      <c r="U80" s="16">
        <f t="shared" ca="1" si="47"/>
        <v>-0.38904109589041097</v>
      </c>
      <c r="V80" s="11" t="str">
        <v>All</v>
      </c>
      <c r="X80">
        <f t="shared" ca="1" si="38"/>
        <v>0.30919348999668944</v>
      </c>
      <c r="Z80" s="17">
        <f t="shared" ca="1" si="39"/>
        <v>46213</v>
      </c>
      <c r="AG80" s="33">
        <f t="shared" ca="1" si="40"/>
        <v>0.17965735370945143</v>
      </c>
      <c r="AH80">
        <f t="shared" ca="1" si="41"/>
        <v>0.10398803775846445</v>
      </c>
      <c r="AI80">
        <f t="shared" ca="1" si="42"/>
        <v>8.9812341023884232E-2</v>
      </c>
      <c r="AJ80">
        <f t="shared" ca="1" si="43"/>
        <v>7.9288518640144703E-2</v>
      </c>
      <c r="AK80">
        <f t="shared" ca="1" si="44"/>
        <v>6.7440664128732633E-2</v>
      </c>
    </row>
    <row r="81" spans="1:37" ht="17.25" customHeight="1">
      <c r="A81" s="19"/>
      <c r="B81" s="45" t="s">
        <v>114</v>
      </c>
      <c r="C81" s="28" t="s">
        <v>27</v>
      </c>
      <c r="D81" s="28" t="s">
        <v>35</v>
      </c>
      <c r="E81" s="28" t="s">
        <v>28</v>
      </c>
      <c r="F81" s="36" t="s">
        <v>29</v>
      </c>
      <c r="G81" s="28" t="s">
        <v>38</v>
      </c>
      <c r="H81" s="83" t="str">
        <f>HYPERLINK("https://innovativeincomeinvestor.com/security/athene-holding-ltd-5-625-fixed-rate-perpetual-non-cumulative-preferred-stock-series-b/","ATH-B")</f>
        <v>ATH-B</v>
      </c>
      <c r="I81" s="47">
        <v>5.6250000000000001E-2</v>
      </c>
      <c r="J81" s="26">
        <f ca="1">IFERROR(__xludf.DUMMYFUNCTION("GOOGLEFINANCE(H81)"),20.17)</f>
        <v>20.170000000000002</v>
      </c>
      <c r="K81" s="26">
        <f ca="1">IFERROR(__xludf.DUMMYFUNCTION("GOOGLEFINANCE(H81,""change"")"),-0.06)</f>
        <v>-0.06</v>
      </c>
      <c r="L81" s="27">
        <f t="shared" ca="1" si="51"/>
        <v>6.9727317798710955E-2</v>
      </c>
      <c r="M81" s="27">
        <f t="shared" ca="1" si="54"/>
        <v>-0.30324276252655941</v>
      </c>
      <c r="N81" s="28" t="s">
        <v>39</v>
      </c>
      <c r="O81" s="28" t="s">
        <v>50</v>
      </c>
      <c r="P81" s="28" t="s">
        <v>64</v>
      </c>
      <c r="Q81" s="65">
        <v>0.35160000000000002</v>
      </c>
      <c r="R81" s="64">
        <v>45565</v>
      </c>
      <c r="S81" s="28" t="s">
        <v>41</v>
      </c>
      <c r="T81" s="62" t="s">
        <v>56</v>
      </c>
      <c r="U81" s="16">
        <f t="shared" ca="1" si="47"/>
        <v>-0.77534246575342469</v>
      </c>
      <c r="V81" s="11" t="str">
        <v>All</v>
      </c>
      <c r="X81">
        <f t="shared" ca="1" si="38"/>
        <v>0.28505331998325623</v>
      </c>
      <c r="Z81" s="17">
        <f t="shared" ca="1" si="39"/>
        <v>46213</v>
      </c>
      <c r="AG81" s="33">
        <f t="shared" ca="1" si="40"/>
        <v>0.17252051420938783</v>
      </c>
      <c r="AH81">
        <f t="shared" ca="1" si="41"/>
        <v>0.10662219625649763</v>
      </c>
      <c r="AI81">
        <f t="shared" ca="1" si="42"/>
        <v>9.4286080133602027E-2</v>
      </c>
      <c r="AJ81">
        <f t="shared" ca="1" si="43"/>
        <v>8.515206046155481E-2</v>
      </c>
      <c r="AK81">
        <f t="shared" ca="1" si="44"/>
        <v>7.497900964533917E-2</v>
      </c>
    </row>
    <row r="82" spans="1:37" ht="17.25" customHeight="1">
      <c r="A82" s="19"/>
      <c r="B82" s="45" t="s">
        <v>114</v>
      </c>
      <c r="C82" s="28" t="s">
        <v>27</v>
      </c>
      <c r="D82" s="28" t="s">
        <v>35</v>
      </c>
      <c r="E82" s="28" t="s">
        <v>28</v>
      </c>
      <c r="F82" s="36" t="s">
        <v>29</v>
      </c>
      <c r="G82" s="28" t="s">
        <v>38</v>
      </c>
      <c r="H82" s="83" t="str">
        <f>HYPERLINK("https://innovativeincomeinvestor.com/security/12247/","ATH-D")</f>
        <v>ATH-D</v>
      </c>
      <c r="I82" s="47">
        <v>4.8750000000000002E-2</v>
      </c>
      <c r="J82" s="26">
        <f ca="1">IFERROR(__xludf.DUMMYFUNCTION("GOOGLEFINANCE(H82)"),17.15)</f>
        <v>17.149999999999999</v>
      </c>
      <c r="K82" s="26">
        <f ca="1">IFERROR(__xludf.DUMMYFUNCTION("GOOGLEFINANCE(H82,""change"")"),-0.04)</f>
        <v>-0.04</v>
      </c>
      <c r="L82" s="27">
        <f t="shared" ca="1" si="51"/>
        <v>7.1020408163265311E-2</v>
      </c>
      <c r="M82" s="27">
        <f t="shared" ca="1" si="54"/>
        <v>0.69614727683772859</v>
      </c>
      <c r="N82" s="28" t="s">
        <v>39</v>
      </c>
      <c r="O82" s="28" t="s">
        <v>50</v>
      </c>
      <c r="P82" s="28" t="s">
        <v>64</v>
      </c>
      <c r="Q82" s="65">
        <v>0.30449999999999999</v>
      </c>
      <c r="R82" s="64">
        <v>46021</v>
      </c>
      <c r="S82" s="28" t="s">
        <v>41</v>
      </c>
      <c r="T82" s="62" t="s">
        <v>56</v>
      </c>
      <c r="U82" s="16">
        <f t="shared" ca="1" si="47"/>
        <v>0.47397260273972602</v>
      </c>
      <c r="V82" s="11" t="str">
        <v>All</v>
      </c>
      <c r="X82">
        <f t="shared" ca="1" si="38"/>
        <v>0.45734656948910191</v>
      </c>
      <c r="Z82" s="17">
        <f t="shared" ca="1" si="39"/>
        <v>46213</v>
      </c>
      <c r="AG82" s="33">
        <f t="shared" ca="1" si="40"/>
        <v>0.25377700600204589</v>
      </c>
      <c r="AH82">
        <f t="shared" ca="1" si="41"/>
        <v>0.1364486261078289</v>
      </c>
      <c r="AI82">
        <f t="shared" ca="1" si="42"/>
        <v>0.11462484188788878</v>
      </c>
      <c r="AJ82">
        <f t="shared" ca="1" si="43"/>
        <v>9.8480595142995522E-2</v>
      </c>
      <c r="AK82">
        <f t="shared" ca="1" si="44"/>
        <v>8.0470997806105823E-2</v>
      </c>
    </row>
    <row r="83" spans="1:37" ht="17.25" customHeight="1">
      <c r="A83" s="19"/>
      <c r="B83" s="45" t="s">
        <v>114</v>
      </c>
      <c r="C83" s="28" t="s">
        <v>27</v>
      </c>
      <c r="D83" s="28" t="s">
        <v>35</v>
      </c>
      <c r="E83" s="28" t="s">
        <v>28</v>
      </c>
      <c r="F83" s="28" t="s">
        <v>46</v>
      </c>
      <c r="G83" s="28" t="s">
        <v>38</v>
      </c>
      <c r="H83" s="66" t="str">
        <f>HYPERLINK("https://innovativeincomeinvestor.com/security/athene-holding-ltd-6-35-fixed-to-floating-rate-perpetual-non-cumulative-preference-shares-series-a/","ATH-A")</f>
        <v>ATH-A</v>
      </c>
      <c r="I83" s="47">
        <v>6.3500000000000001E-2</v>
      </c>
      <c r="J83" s="26">
        <f ca="1">IFERROR(__xludf.DUMMYFUNCTION("GOOGLEFINANCE(H83)"),24.87)</f>
        <v>24.87</v>
      </c>
      <c r="K83" s="26">
        <f ca="1">IFERROR(__xludf.DUMMYFUNCTION("GOOGLEFINANCE(H83,""change"")"),-0.08)</f>
        <v>-0.08</v>
      </c>
      <c r="L83" s="27">
        <f t="shared" ca="1" si="51"/>
        <v>6.3852030558906314E-2</v>
      </c>
      <c r="M83" s="27">
        <f t="shared" ca="1" si="54"/>
        <v>0.25514175200995426</v>
      </c>
      <c r="N83" s="28" t="s">
        <v>39</v>
      </c>
      <c r="O83" s="28" t="s">
        <v>50</v>
      </c>
      <c r="P83" s="28" t="s">
        <v>64</v>
      </c>
      <c r="Q83" s="65">
        <v>0.39700000000000002</v>
      </c>
      <c r="R83" s="64">
        <v>47299</v>
      </c>
      <c r="S83" s="28" t="s">
        <v>41</v>
      </c>
      <c r="T83" s="62" t="s">
        <v>56</v>
      </c>
      <c r="U83" s="16">
        <f t="shared" ca="1" si="47"/>
        <v>3.9753424657534246</v>
      </c>
      <c r="V83" s="11" t="str">
        <v>All</v>
      </c>
      <c r="X83">
        <f t="shared" ca="1" si="38"/>
        <v>6.8925922656073321E-2</v>
      </c>
      <c r="Z83" s="17">
        <f t="shared" ca="1" si="39"/>
        <v>46213</v>
      </c>
      <c r="AG83" s="33">
        <f t="shared" ca="1" si="40"/>
        <v>6.6297638574189702E-2</v>
      </c>
      <c r="AH83">
        <f t="shared" ca="1" si="41"/>
        <v>6.4725916799337216E-2</v>
      </c>
      <c r="AI83">
        <f t="shared" ca="1" si="42"/>
        <v>6.4428882461725775E-2</v>
      </c>
      <c r="AJ83">
        <f t="shared" ca="1" si="43"/>
        <v>6.4208617735137363E-2</v>
      </c>
      <c r="AK83">
        <f t="shared" ca="1" si="44"/>
        <v>6.3962214717626364E-2</v>
      </c>
    </row>
    <row r="84" spans="1:37" ht="17.25" customHeight="1">
      <c r="A84" s="19"/>
      <c r="B84" s="45" t="s">
        <v>114</v>
      </c>
      <c r="C84" s="28" t="s">
        <v>27</v>
      </c>
      <c r="D84" s="28" t="s">
        <v>35</v>
      </c>
      <c r="E84" s="28" t="s">
        <v>28</v>
      </c>
      <c r="F84" s="36" t="s">
        <v>61</v>
      </c>
      <c r="G84" s="28" t="s">
        <v>38</v>
      </c>
      <c r="H84" s="83" t="str">
        <f>HYPERLINK("https://innovativeincomeinvestor.com/security/athene-6-375-fixed-rate-reseet-perpetual-non-cumulative-preference-shares-series-c/","ATH-C")</f>
        <v>ATH-C</v>
      </c>
      <c r="I84" s="47">
        <v>6.3750000000000001E-2</v>
      </c>
      <c r="J84" s="79" t="s">
        <v>68</v>
      </c>
      <c r="K84" s="80" t="s">
        <v>68</v>
      </c>
      <c r="L84" s="81" t="s">
        <v>68</v>
      </c>
      <c r="M84" s="27" t="e">
        <f t="shared" ca="1" si="54"/>
        <v>#VALUE!</v>
      </c>
      <c r="N84" s="28" t="s">
        <v>39</v>
      </c>
      <c r="O84" s="28" t="s">
        <v>50</v>
      </c>
      <c r="P84" s="28" t="s">
        <v>64</v>
      </c>
      <c r="Q84" s="65">
        <v>0.4</v>
      </c>
      <c r="R84" s="64">
        <v>45930</v>
      </c>
      <c r="S84" s="28" t="s">
        <v>41</v>
      </c>
      <c r="T84" s="62" t="s">
        <v>56</v>
      </c>
      <c r="U84" s="16">
        <f t="shared" ca="1" si="47"/>
        <v>0.22465753424657534</v>
      </c>
      <c r="V84" s="11" t="str">
        <v>All</v>
      </c>
      <c r="X84" t="e">
        <f t="shared" ca="1" si="38"/>
        <v>#VALUE!</v>
      </c>
      <c r="Z84" s="17">
        <f t="shared" ca="1" si="39"/>
        <v>46213</v>
      </c>
      <c r="AG84" s="33" t="e">
        <f t="shared" ca="1" si="40"/>
        <v>#VALUE!</v>
      </c>
      <c r="AH84" t="e">
        <f t="shared" ca="1" si="41"/>
        <v>#VALUE!</v>
      </c>
      <c r="AI84" t="e">
        <f t="shared" ca="1" si="42"/>
        <v>#VALUE!</v>
      </c>
      <c r="AJ84" t="e">
        <f t="shared" ca="1" si="43"/>
        <v>#VALUE!</v>
      </c>
      <c r="AK84" t="e">
        <f t="shared" ca="1" si="44"/>
        <v>#VALUE!</v>
      </c>
    </row>
    <row r="85" spans="1:37" ht="17.25" customHeight="1">
      <c r="A85" s="19"/>
      <c r="B85" s="45" t="s">
        <v>114</v>
      </c>
      <c r="C85" s="28" t="s">
        <v>27</v>
      </c>
      <c r="D85" s="28" t="s">
        <v>35</v>
      </c>
      <c r="E85" s="28" t="s">
        <v>28</v>
      </c>
      <c r="F85" s="36" t="s">
        <v>61</v>
      </c>
      <c r="G85" s="28" t="s">
        <v>38</v>
      </c>
      <c r="H85" s="23" t="str">
        <f>HYPERLINK("https://innovativeincomeinvestor.com/security/athene-holding-ltd-7-75-fixed-rate-reset-perpetual-non-cumulative-preference-shares-series-e/","ATH-E")</f>
        <v>ATH-E</v>
      </c>
      <c r="I85" s="47">
        <v>7.7499999999999999E-2</v>
      </c>
      <c r="J85" s="26">
        <f ca="1">IFERROR(__xludf.DUMMYFUNCTION("GOOGLEFINANCE(H85)"),26.21)</f>
        <v>26.21</v>
      </c>
      <c r="K85" s="26">
        <f ca="1">IFERROR(__xludf.DUMMYFUNCTION("GOOGLEFINANCE(H85,""change"")"),-0.08)</f>
        <v>-0.08</v>
      </c>
      <c r="L85" s="27">
        <f t="shared" ref="L85:L97" ca="1" si="55">(Q85*4)/J85</f>
        <v>7.3922167111789394E-2</v>
      </c>
      <c r="M85" s="27">
        <f t="shared" ca="1" si="54"/>
        <v>0.16354190725672227</v>
      </c>
      <c r="N85" s="28" t="s">
        <v>39</v>
      </c>
      <c r="O85" s="28" t="s">
        <v>50</v>
      </c>
      <c r="P85" s="28" t="s">
        <v>64</v>
      </c>
      <c r="Q85" s="29">
        <f>(I85*25)/4</f>
        <v>0.484375</v>
      </c>
      <c r="R85" s="64">
        <v>46752</v>
      </c>
      <c r="S85" s="28" t="s">
        <v>41</v>
      </c>
      <c r="T85" s="62" t="s">
        <v>56</v>
      </c>
      <c r="U85" s="16">
        <f t="shared" ca="1" si="47"/>
        <v>2.4767123287671233</v>
      </c>
      <c r="V85" s="11" t="str">
        <v>All</v>
      </c>
      <c r="X85">
        <f t="shared" ca="1" si="38"/>
        <v>2.8242654244568951E-2</v>
      </c>
      <c r="Z85" s="17">
        <f t="shared" ca="1" si="39"/>
        <v>46213</v>
      </c>
      <c r="AG85" s="33">
        <f t="shared" ca="1" si="40"/>
        <v>5.1866708469960686E-2</v>
      </c>
      <c r="AH85">
        <f t="shared" ca="1" si="41"/>
        <v>6.604902185809941E-2</v>
      </c>
      <c r="AI85">
        <f t="shared" ca="1" si="42"/>
        <v>6.87255230322079E-2</v>
      </c>
      <c r="AJ85">
        <f t="shared" ca="1" si="43"/>
        <v>7.0704912529971978E-2</v>
      </c>
      <c r="AK85">
        <f t="shared" ca="1" si="44"/>
        <v>7.288143416769316E-2</v>
      </c>
    </row>
    <row r="86" spans="1:37" ht="17.25" customHeight="1">
      <c r="A86" s="19"/>
      <c r="B86" s="45" t="s">
        <v>114</v>
      </c>
      <c r="C86" s="28" t="s">
        <v>27</v>
      </c>
      <c r="D86" s="28" t="s">
        <v>27</v>
      </c>
      <c r="E86" s="28" t="s">
        <v>28</v>
      </c>
      <c r="F86" s="36" t="s">
        <v>61</v>
      </c>
      <c r="G86" s="28" t="s">
        <v>30</v>
      </c>
      <c r="H86" s="23" t="str">
        <f>HYPERLINK("https://innovativeincomeinvestor.com/security/athene-7-25-fixed-rate-reset-junior-subordinated-debentures-due-2064/","ATHS")</f>
        <v>ATHS</v>
      </c>
      <c r="I86" s="47">
        <v>7.2499999999999995E-2</v>
      </c>
      <c r="J86" s="26">
        <f ca="1">IFERROR(__xludf.DUMMYFUNCTION("GOOGLEFINANCE(H86)"),25.15)</f>
        <v>25.15</v>
      </c>
      <c r="K86" s="26">
        <f ca="1">IFERROR(__xludf.DUMMYFUNCTION("GOOGLEFINANCE(H86,""change"")"),-0.04)</f>
        <v>-0.04</v>
      </c>
      <c r="L86" s="27">
        <f t="shared" ca="1" si="55"/>
        <v>7.2047713717693848E-2</v>
      </c>
      <c r="M86" s="27">
        <f t="shared" ca="1" si="54"/>
        <v>0.26664288519690776</v>
      </c>
      <c r="N86" s="28" t="s">
        <v>39</v>
      </c>
      <c r="O86" s="28" t="s">
        <v>50</v>
      </c>
      <c r="P86" s="28" t="s">
        <v>76</v>
      </c>
      <c r="Q86" s="29">
        <v>0.45300000000000001</v>
      </c>
      <c r="R86" s="64">
        <v>47207</v>
      </c>
      <c r="S86" s="82">
        <v>59991</v>
      </c>
      <c r="T86" s="62" t="s">
        <v>56</v>
      </c>
      <c r="U86" s="16">
        <f t="shared" ca="1" si="47"/>
        <v>3.7232876712328768</v>
      </c>
      <c r="V86" s="11" t="str">
        <v>All</v>
      </c>
      <c r="X86">
        <f t="shared" ca="1" si="38"/>
        <v>6.6249523949139674E-2</v>
      </c>
      <c r="Z86" s="17">
        <f t="shared" ca="1" si="39"/>
        <v>46213</v>
      </c>
      <c r="AG86" s="33">
        <f t="shared" ca="1" si="40"/>
        <v>6.9261561931841464E-2</v>
      </c>
      <c r="AH86">
        <f t="shared" ca="1" si="41"/>
        <v>7.1062611153941718E-2</v>
      </c>
      <c r="AI86">
        <f t="shared" ca="1" si="42"/>
        <v>7.140210022877562E-2</v>
      </c>
      <c r="AJ86">
        <f t="shared" ca="1" si="43"/>
        <v>7.16536341295438E-2</v>
      </c>
      <c r="AK86">
        <f t="shared" ca="1" si="44"/>
        <v>7.1930915891188316E-2</v>
      </c>
    </row>
    <row r="87" spans="1:37" ht="17.25" customHeight="1">
      <c r="A87" s="19"/>
      <c r="B87" s="45" t="s">
        <v>115</v>
      </c>
      <c r="C87" s="28" t="s">
        <v>27</v>
      </c>
      <c r="D87" s="28" t="s">
        <v>35</v>
      </c>
      <c r="E87" s="28" t="s">
        <v>110</v>
      </c>
      <c r="F87" s="36" t="s">
        <v>29</v>
      </c>
      <c r="G87" s="28" t="s">
        <v>38</v>
      </c>
      <c r="H87" s="23" t="str">
        <f>HYPERLINK("https://innovativeincomeinvestor.com/security/atlantic-union-bancshares-6-875-perpetual-non-cumulative-preferred-stock-series-a/","AUB-A")</f>
        <v>AUB-A</v>
      </c>
      <c r="I87" s="47">
        <v>6.8750000000000006E-2</v>
      </c>
      <c r="J87" s="26">
        <f ca="1">IFERROR(__xludf.DUMMYFUNCTION("GOOGLEFINANCE(H87)"),24.12)</f>
        <v>24.12</v>
      </c>
      <c r="K87" s="26">
        <f ca="1">IFERROR(__xludf.DUMMYFUNCTION("GOOGLEFINANCE(H87,""change"")"),0.19)</f>
        <v>0.19</v>
      </c>
      <c r="L87" s="27">
        <f t="shared" ca="1" si="55"/>
        <v>7.1310116086235484E-2</v>
      </c>
      <c r="M87" s="27">
        <f t="shared" ca="1" si="54"/>
        <v>0.25276971393570591</v>
      </c>
      <c r="N87" s="28" t="s">
        <v>31</v>
      </c>
      <c r="O87" s="28" t="s">
        <v>32</v>
      </c>
      <c r="P87" s="28" t="s">
        <v>32</v>
      </c>
      <c r="Q87" s="65">
        <v>0.43</v>
      </c>
      <c r="R87" s="64">
        <v>45901</v>
      </c>
      <c r="S87" s="28" t="s">
        <v>41</v>
      </c>
      <c r="T87" s="62" t="s">
        <v>81</v>
      </c>
      <c r="U87" s="16">
        <f t="shared" ca="1" si="47"/>
        <v>0.14520547945205478</v>
      </c>
      <c r="V87" s="11" t="str">
        <v>All</v>
      </c>
      <c r="X87">
        <f t="shared" ca="1" si="38"/>
        <v>0.10631970730100669</v>
      </c>
      <c r="Z87" s="17">
        <f t="shared" ca="1" si="39"/>
        <v>46213</v>
      </c>
      <c r="AG87" s="33">
        <f t="shared" ca="1" si="40"/>
        <v>8.8139515973493482E-2</v>
      </c>
      <c r="AH87">
        <f t="shared" ca="1" si="41"/>
        <v>7.7308518553148908E-2</v>
      </c>
      <c r="AI87">
        <f t="shared" ca="1" si="42"/>
        <v>7.5268487472024623E-2</v>
      </c>
      <c r="AJ87">
        <f t="shared" ca="1" si="43"/>
        <v>7.375865186106928E-2</v>
      </c>
      <c r="AK87">
        <f t="shared" ca="1" si="44"/>
        <v>7.2087172404498259E-2</v>
      </c>
    </row>
    <row r="88" spans="1:37" ht="17.25" customHeight="1">
      <c r="A88" s="19"/>
      <c r="B88" s="45" t="s">
        <v>116</v>
      </c>
      <c r="C88" s="28" t="s">
        <v>35</v>
      </c>
      <c r="D88" s="28" t="s">
        <v>35</v>
      </c>
      <c r="E88" s="28" t="s">
        <v>117</v>
      </c>
      <c r="F88" s="36" t="s">
        <v>29</v>
      </c>
      <c r="G88" s="28" t="s">
        <v>38</v>
      </c>
      <c r="H88" s="55" t="str">
        <f>HYPERLINK("https://innovativeincomeinvestor.com/security/atlanticus-holdings-corp-7-625-series-b-cumulative-perpetual-preferred-stock/","ATLCP")</f>
        <v>ATLCP</v>
      </c>
      <c r="I88" s="47">
        <v>7.6249999999999998E-2</v>
      </c>
      <c r="J88" s="26">
        <f ca="1">IFERROR(__xludf.DUMMYFUNCTION("GOOGLEFINANCE(H88)"),22.07)</f>
        <v>22.07</v>
      </c>
      <c r="K88" s="26">
        <f ca="1">IFERROR(__xludf.DUMMYFUNCTION("GOOGLEFINANCE(H88,""change"")"),-0.03)</f>
        <v>-0.03</v>
      </c>
      <c r="L88" s="27">
        <f t="shared" ca="1" si="55"/>
        <v>8.6995922066153142E-2</v>
      </c>
      <c r="M88" s="27">
        <f t="shared" ca="1" si="54"/>
        <v>0.20739939348972947</v>
      </c>
      <c r="N88" s="28" t="s">
        <v>31</v>
      </c>
      <c r="O88" s="28" t="s">
        <v>32</v>
      </c>
      <c r="P88" s="28" t="s">
        <v>32</v>
      </c>
      <c r="Q88" s="65">
        <v>0.48</v>
      </c>
      <c r="R88" s="64">
        <v>46184</v>
      </c>
      <c r="S88" s="54" t="s">
        <v>41</v>
      </c>
      <c r="T88" s="50" t="s">
        <v>52</v>
      </c>
      <c r="U88" s="16">
        <f t="shared" ca="1" si="47"/>
        <v>0.92054794520547945</v>
      </c>
      <c r="V88" s="11" t="str">
        <v>All</v>
      </c>
      <c r="X88">
        <f t="shared" ca="1" si="38"/>
        <v>0.20916122219149047</v>
      </c>
      <c r="Z88" s="17">
        <f t="shared" ca="1" si="39"/>
        <v>46213</v>
      </c>
      <c r="AG88" s="33">
        <f t="shared" ca="1" si="40"/>
        <v>0.14479077140846836</v>
      </c>
      <c r="AH88">
        <f t="shared" ca="1" si="41"/>
        <v>0.10682088092255504</v>
      </c>
      <c r="AI88">
        <f t="shared" ca="1" si="42"/>
        <v>9.9722661166883886E-2</v>
      </c>
      <c r="AJ88">
        <f t="shared" ca="1" si="43"/>
        <v>9.4500814857192986E-2</v>
      </c>
      <c r="AK88">
        <f t="shared" ca="1" si="44"/>
        <v>8.8834029634523207E-2</v>
      </c>
    </row>
    <row r="89" spans="1:37" ht="17.25" customHeight="1">
      <c r="A89" s="19"/>
      <c r="B89" s="45" t="s">
        <v>116</v>
      </c>
      <c r="C89" s="28" t="s">
        <v>27</v>
      </c>
      <c r="D89" s="28" t="s">
        <v>27</v>
      </c>
      <c r="E89" s="28" t="s">
        <v>117</v>
      </c>
      <c r="F89" s="36" t="s">
        <v>29</v>
      </c>
      <c r="G89" s="28" t="s">
        <v>30</v>
      </c>
      <c r="H89" s="83" t="str">
        <f>HYPERLINK("https://innovativeincomeinvestor.com/security/atlanticus-holdings-corporation-6-125-senior-notes-due-2026/","ATLCL")</f>
        <v>ATLCL</v>
      </c>
      <c r="I89" s="47">
        <v>6.1249999999999999E-2</v>
      </c>
      <c r="J89" s="112">
        <f ca="1">IFERROR(__xludf.DUMMYFUNCTION("GOOGLEFINANCE(H89)"),24.38)</f>
        <v>24.38</v>
      </c>
      <c r="K89" s="113">
        <f ca="1">IFERROR(__xludf.DUMMYFUNCTION("GOOGLEFINANCE(H89,""change"")"),0.06)</f>
        <v>0.06</v>
      </c>
      <c r="L89" s="58">
        <f t="shared" ca="1" si="55"/>
        <v>6.2346185397867106E-2</v>
      </c>
      <c r="M89" s="58">
        <f t="shared" ca="1" si="54"/>
        <v>9.6854704960157495E-2</v>
      </c>
      <c r="N89" s="59" t="s">
        <v>31</v>
      </c>
      <c r="O89" s="58" t="s">
        <v>32</v>
      </c>
      <c r="P89" s="58" t="s">
        <v>32</v>
      </c>
      <c r="Q89" s="114">
        <v>0.38</v>
      </c>
      <c r="R89" s="64">
        <v>46297</v>
      </c>
      <c r="S89" s="61">
        <v>46387</v>
      </c>
      <c r="T89" s="50" t="s">
        <v>42</v>
      </c>
      <c r="U89" s="16">
        <f t="shared" ca="1" si="47"/>
        <v>1.2301369863013698</v>
      </c>
      <c r="V89" s="11" t="str">
        <v>All</v>
      </c>
      <c r="X89">
        <f t="shared" ca="1" si="38"/>
        <v>8.7419649906619754E-2</v>
      </c>
      <c r="Z89" s="17">
        <f t="shared" ca="1" si="39"/>
        <v>46213</v>
      </c>
      <c r="AG89" s="33">
        <f t="shared" ca="1" si="40"/>
        <v>7.4714766090640886E-2</v>
      </c>
      <c r="AH89">
        <f t="shared" ca="1" si="41"/>
        <v>6.7132471091391616E-2</v>
      </c>
      <c r="AI89">
        <f t="shared" ca="1" si="42"/>
        <v>6.5700589970643555E-2</v>
      </c>
      <c r="AJ89">
        <f t="shared" ca="1" si="43"/>
        <v>6.4637543395096309E-2</v>
      </c>
      <c r="AK89">
        <f t="shared" ca="1" si="44"/>
        <v>6.344764565013504E-2</v>
      </c>
    </row>
    <row r="90" spans="1:37" ht="17.25" customHeight="1">
      <c r="A90" s="19"/>
      <c r="B90" s="45" t="s">
        <v>116</v>
      </c>
      <c r="C90" s="28" t="s">
        <v>27</v>
      </c>
      <c r="D90" s="28" t="s">
        <v>27</v>
      </c>
      <c r="E90" s="28" t="s">
        <v>117</v>
      </c>
      <c r="F90" s="36" t="s">
        <v>29</v>
      </c>
      <c r="G90" s="28" t="s">
        <v>30</v>
      </c>
      <c r="H90" s="23" t="str">
        <f>HYPERLINK("https://innovativeincomeinvestor.com/security/atlanticus-holdings-corporation-9-25-senior-notes-due-2029/","ATLCZ")</f>
        <v>ATLCZ</v>
      </c>
      <c r="I90" s="47">
        <v>9.2499999999999999E-2</v>
      </c>
      <c r="J90" s="112">
        <f ca="1">IFERROR(__xludf.DUMMYFUNCTION("GOOGLEFINANCE(H90)"),24.9)</f>
        <v>24.9</v>
      </c>
      <c r="K90" s="113">
        <f ca="1">IFERROR(__xludf.DUMMYFUNCTION("GOOGLEFINANCE(H90,""change"")"),0.01)</f>
        <v>0.01</v>
      </c>
      <c r="L90" s="58">
        <f t="shared" ca="1" si="55"/>
        <v>9.3172690763052207E-2</v>
      </c>
      <c r="M90" s="58">
        <f t="shared" ca="1" si="54"/>
        <v>0.24023674626717259</v>
      </c>
      <c r="N90" s="59" t="s">
        <v>31</v>
      </c>
      <c r="O90" s="58" t="s">
        <v>32</v>
      </c>
      <c r="P90" s="58" t="s">
        <v>32</v>
      </c>
      <c r="Q90" s="114">
        <v>0.57999999999999996</v>
      </c>
      <c r="R90" s="64">
        <v>46783</v>
      </c>
      <c r="S90" s="61">
        <v>47149</v>
      </c>
      <c r="T90" s="50" t="s">
        <v>60</v>
      </c>
      <c r="U90" s="16">
        <f t="shared" ca="1" si="47"/>
        <v>2.5616438356164384</v>
      </c>
      <c r="V90" s="11" t="str">
        <v>All</v>
      </c>
      <c r="X90">
        <f t="shared" ca="1" si="38"/>
        <v>9.6744751459081693E-2</v>
      </c>
      <c r="Z90" s="17">
        <f t="shared" ca="1" si="39"/>
        <v>46213</v>
      </c>
      <c r="AG90" s="33">
        <f t="shared" ca="1" si="40"/>
        <v>9.4718933184371357E-2</v>
      </c>
      <c r="AH90">
        <f t="shared" ca="1" si="41"/>
        <v>9.351039328051193E-2</v>
      </c>
      <c r="AI90">
        <f t="shared" ca="1" si="42"/>
        <v>9.3283878168949216E-2</v>
      </c>
      <c r="AJ90">
        <f t="shared" ca="1" si="43"/>
        <v>9.311836930597589E-2</v>
      </c>
      <c r="AK90">
        <f t="shared" ca="1" si="44"/>
        <v>9.2940729066662675E-2</v>
      </c>
    </row>
    <row r="91" spans="1:37" ht="17.25" customHeight="1">
      <c r="A91" s="19"/>
      <c r="B91" s="45" t="s">
        <v>118</v>
      </c>
      <c r="C91" s="28" t="s">
        <v>35</v>
      </c>
      <c r="D91" s="28" t="s">
        <v>35</v>
      </c>
      <c r="E91" s="28" t="s">
        <v>119</v>
      </c>
      <c r="F91" s="36" t="s">
        <v>29</v>
      </c>
      <c r="G91" s="28" t="s">
        <v>38</v>
      </c>
      <c r="H91" s="51" t="str">
        <f>HYPERLINK("https://innovativeincomeinvestor.com/security/seaspan-corp-7-95-series-d-cumulative-redeemable-perpetual-preferred-shares/","ATCO-D")</f>
        <v>ATCO-D</v>
      </c>
      <c r="I91" s="47">
        <v>7.9500000000000001E-2</v>
      </c>
      <c r="J91" s="65">
        <f ca="1">IFERROR(__xludf.DUMMYFUNCTION("GoogleFinance(H91)"),25.37)</f>
        <v>25.37</v>
      </c>
      <c r="K91" s="48">
        <f ca="1">IFERROR(__xludf.DUMMYFUNCTION("googlefinance(H91,""change"")"),0.01)</f>
        <v>0.01</v>
      </c>
      <c r="L91" s="27">
        <f t="shared" ca="1" si="55"/>
        <v>7.8833267638943633E-2</v>
      </c>
      <c r="M91" s="27">
        <f t="shared" ref="M91:M94" ca="1" si="56">(25-J91)/25</f>
        <v>-1.4800000000000041E-2</v>
      </c>
      <c r="N91" s="28" t="s">
        <v>31</v>
      </c>
      <c r="O91" s="27" t="s">
        <v>32</v>
      </c>
      <c r="P91" s="27" t="s">
        <v>32</v>
      </c>
      <c r="Q91" s="29">
        <v>0.5</v>
      </c>
      <c r="R91" s="64">
        <v>43130</v>
      </c>
      <c r="S91" s="54" t="s">
        <v>41</v>
      </c>
      <c r="T91" s="50" t="s">
        <v>45</v>
      </c>
      <c r="U91" s="16">
        <f t="shared" ca="1" si="47"/>
        <v>-7.4465753424657537</v>
      </c>
      <c r="V91" s="11" t="str">
        <v>All</v>
      </c>
      <c r="X91">
        <f t="shared" ca="1" si="38"/>
        <v>6.4102340200360888E-2</v>
      </c>
      <c r="Z91" s="17">
        <f t="shared" ca="1" si="39"/>
        <v>46213</v>
      </c>
      <c r="AG91" s="33">
        <f t="shared" ca="1" si="40"/>
        <v>7.1492527901650255E-2</v>
      </c>
      <c r="AH91">
        <f t="shared" ca="1" si="41"/>
        <v>7.5912985207778519E-2</v>
      </c>
      <c r="AI91">
        <f t="shared" ca="1" si="42"/>
        <v>7.6745034477407895E-2</v>
      </c>
      <c r="AJ91">
        <f t="shared" ca="1" si="43"/>
        <v>7.7359487983424069E-2</v>
      </c>
      <c r="AK91">
        <f t="shared" ca="1" si="44"/>
        <v>7.8030813536911756E-2</v>
      </c>
    </row>
    <row r="92" spans="1:37" ht="17.25" customHeight="1">
      <c r="A92" s="19"/>
      <c r="B92" s="45" t="s">
        <v>118</v>
      </c>
      <c r="C92" s="28" t="s">
        <v>35</v>
      </c>
      <c r="D92" s="28" t="s">
        <v>35</v>
      </c>
      <c r="E92" s="28" t="s">
        <v>119</v>
      </c>
      <c r="F92" s="36" t="s">
        <v>29</v>
      </c>
      <c r="G92" s="28" t="s">
        <v>38</v>
      </c>
      <c r="H92" s="66" t="str">
        <f>HYPERLINK("https://innovativeincomeinvestor.com/security/seaspan-corp-7-875-series-h-cumulative-redeemable-perpetual-preferred-shares/","ATCO-H")</f>
        <v>ATCO-H</v>
      </c>
      <c r="I92" s="47">
        <v>7.8750000000000001E-2</v>
      </c>
      <c r="J92" s="65">
        <f ca="1">IFERROR(__xludf.DUMMYFUNCTION("GoogleFinance(H92)"),25.51)</f>
        <v>25.51</v>
      </c>
      <c r="K92" s="48">
        <v>0.12</v>
      </c>
      <c r="L92" s="27">
        <f t="shared" ca="1" si="55"/>
        <v>7.6832614660917287E-2</v>
      </c>
      <c r="M92" s="27">
        <f t="shared" ca="1" si="56"/>
        <v>-2.0400000000000064E-2</v>
      </c>
      <c r="N92" s="28" t="s">
        <v>31</v>
      </c>
      <c r="O92" s="27" t="s">
        <v>32</v>
      </c>
      <c r="P92" s="27" t="s">
        <v>32</v>
      </c>
      <c r="Q92" s="29">
        <v>0.49</v>
      </c>
      <c r="R92" s="64">
        <v>44419</v>
      </c>
      <c r="S92" s="54" t="s">
        <v>41</v>
      </c>
      <c r="T92" s="50" t="s">
        <v>45</v>
      </c>
      <c r="U92" s="16">
        <f t="shared" ca="1" si="47"/>
        <v>-3.9150684931506849</v>
      </c>
      <c r="V92" s="11" t="str">
        <v>All</v>
      </c>
      <c r="X92">
        <f t="shared" ca="1" si="38"/>
        <v>5.7610218195752842E-2</v>
      </c>
      <c r="Z92" s="17">
        <f t="shared" ca="1" si="39"/>
        <v>46213</v>
      </c>
      <c r="AG92" s="33">
        <f t="shared" ca="1" si="40"/>
        <v>6.7757253210464455E-2</v>
      </c>
      <c r="AH92">
        <f t="shared" ca="1" si="41"/>
        <v>7.3830838532249532E-2</v>
      </c>
      <c r="AI92">
        <f t="shared" ca="1" si="42"/>
        <v>7.4974750366066809E-2</v>
      </c>
      <c r="AJ92">
        <f t="shared" ca="1" si="43"/>
        <v>7.581978325884528E-2</v>
      </c>
      <c r="AK92">
        <f t="shared" ca="1" si="44"/>
        <v>7.6744784061557783E-2</v>
      </c>
    </row>
    <row r="93" spans="1:37" ht="17.25" customHeight="1">
      <c r="A93" s="19"/>
      <c r="B93" s="45" t="s">
        <v>118</v>
      </c>
      <c r="C93" s="28" t="s">
        <v>27</v>
      </c>
      <c r="D93" s="28" t="s">
        <v>27</v>
      </c>
      <c r="E93" s="28" t="s">
        <v>119</v>
      </c>
      <c r="F93" s="36" t="s">
        <v>29</v>
      </c>
      <c r="G93" s="28" t="s">
        <v>30</v>
      </c>
      <c r="H93" s="90" t="s">
        <v>120</v>
      </c>
      <c r="I93" s="85">
        <v>7.1249999999999994E-2</v>
      </c>
      <c r="J93" s="65" t="str">
        <f ca="1">IFERROR(__xludf.DUMMYFUNCTION("GoogleFinance(H93)"),"#N/A")</f>
        <v>#N/A</v>
      </c>
      <c r="K93" s="48">
        <v>0.12</v>
      </c>
      <c r="L93" s="27" t="e">
        <f t="shared" ca="1" si="55"/>
        <v>#VALUE!</v>
      </c>
      <c r="M93" s="27" t="e">
        <f t="shared" ca="1" si="56"/>
        <v>#VALUE!</v>
      </c>
      <c r="N93" s="28" t="s">
        <v>31</v>
      </c>
      <c r="O93" s="27" t="s">
        <v>32</v>
      </c>
      <c r="P93" s="27" t="s">
        <v>32</v>
      </c>
      <c r="Q93" s="29">
        <v>0.45</v>
      </c>
      <c r="R93" s="64">
        <v>45059</v>
      </c>
      <c r="S93" s="61">
        <v>46690</v>
      </c>
      <c r="T93" s="50" t="s">
        <v>45</v>
      </c>
      <c r="U93" s="16">
        <f t="shared" ca="1" si="47"/>
        <v>-2.1616438356164385</v>
      </c>
      <c r="V93" s="11" t="str">
        <v>All</v>
      </c>
      <c r="X93" t="e">
        <f t="shared" ca="1" si="38"/>
        <v>#VALUE!</v>
      </c>
      <c r="Z93" s="17">
        <f t="shared" ca="1" si="39"/>
        <v>46213</v>
      </c>
      <c r="AG93" s="33" t="e">
        <f t="shared" ca="1" si="40"/>
        <v>#VALUE!</v>
      </c>
      <c r="AH93" t="e">
        <f t="shared" ca="1" si="41"/>
        <v>#VALUE!</v>
      </c>
      <c r="AI93" t="e">
        <f t="shared" ca="1" si="42"/>
        <v>#VALUE!</v>
      </c>
      <c r="AJ93" t="e">
        <f t="shared" ca="1" si="43"/>
        <v>#VALUE!</v>
      </c>
      <c r="AK93" t="e">
        <f t="shared" ca="1" si="44"/>
        <v>#VALUE!</v>
      </c>
    </row>
    <row r="94" spans="1:37" ht="17.25" customHeight="1">
      <c r="A94" s="19"/>
      <c r="B94" s="45" t="s">
        <v>121</v>
      </c>
      <c r="C94" s="28" t="s">
        <v>27</v>
      </c>
      <c r="D94" s="28" t="s">
        <v>35</v>
      </c>
      <c r="E94" s="28" t="s">
        <v>28</v>
      </c>
      <c r="F94" s="36" t="s">
        <v>29</v>
      </c>
      <c r="G94" s="28" t="s">
        <v>38</v>
      </c>
      <c r="H94" s="51" t="str">
        <f>HYPERLINK("https://innovativeincomeinvestor.com/security/axis-capital-holdings-ltd-5-50-dep-shares-non-cumul-series-e/","AXS-E")</f>
        <v>AXS-E</v>
      </c>
      <c r="I94" s="85">
        <v>5.5E-2</v>
      </c>
      <c r="J94" s="65">
        <f ca="1">IFERROR(__xludf.DUMMYFUNCTION("GoogleFinance(H94)"),20.16)</f>
        <v>20.16</v>
      </c>
      <c r="K94" s="48">
        <f ca="1">IFERROR(__xludf.DUMMYFUNCTION("googlefinance(H94,""change"")"),-0.11)</f>
        <v>-0.11</v>
      </c>
      <c r="L94" s="27">
        <f t="shared" ca="1" si="55"/>
        <v>6.746031746031747E-2</v>
      </c>
      <c r="M94" s="27">
        <f t="shared" ca="1" si="56"/>
        <v>0.19359999999999999</v>
      </c>
      <c r="N94" s="28" t="s">
        <v>39</v>
      </c>
      <c r="O94" s="28" t="s">
        <v>50</v>
      </c>
      <c r="P94" s="28" t="s">
        <v>64</v>
      </c>
      <c r="Q94" s="29">
        <v>0.34</v>
      </c>
      <c r="R94" s="53">
        <v>44507</v>
      </c>
      <c r="S94" s="54" t="s">
        <v>41</v>
      </c>
      <c r="T94" s="62" t="s">
        <v>60</v>
      </c>
      <c r="U94" s="16">
        <f t="shared" ca="1" si="47"/>
        <v>-3.6739726027397261</v>
      </c>
      <c r="V94" s="11" t="str">
        <v>All</v>
      </c>
      <c r="X94">
        <f t="shared" ca="1" si="38"/>
        <v>0.28416190117873558</v>
      </c>
      <c r="Z94" s="17">
        <f t="shared" ca="1" si="39"/>
        <v>46213</v>
      </c>
      <c r="AG94" s="33">
        <f t="shared" ca="1" si="40"/>
        <v>0.17137433643852334</v>
      </c>
      <c r="AH94">
        <f t="shared" ca="1" si="41"/>
        <v>0.10532292573245167</v>
      </c>
      <c r="AI94">
        <f t="shared" ca="1" si="42"/>
        <v>9.2954066416243916E-2</v>
      </c>
      <c r="AJ94">
        <f t="shared" ca="1" si="43"/>
        <v>8.379125560327115E-2</v>
      </c>
      <c r="AK94">
        <f t="shared" ca="1" si="44"/>
        <v>7.3567218878973786E-2</v>
      </c>
    </row>
    <row r="95" spans="1:37" ht="17.25" customHeight="1">
      <c r="A95" s="19"/>
      <c r="B95" s="45" t="s">
        <v>122</v>
      </c>
      <c r="C95" s="28" t="s">
        <v>35</v>
      </c>
      <c r="D95" s="28" t="s">
        <v>35</v>
      </c>
      <c r="E95" s="28" t="s">
        <v>117</v>
      </c>
      <c r="F95" s="36" t="s">
        <v>29</v>
      </c>
      <c r="G95" s="28" t="s">
        <v>38</v>
      </c>
      <c r="H95" s="23" t="str">
        <f>HYPERLINK("https://innovativeincomeinvestor.com/security/b-riley-financial-7-375-series-b-cumulative-perpetual-preferred/","RILYL")</f>
        <v>RILYL</v>
      </c>
      <c r="I95" s="47">
        <v>7.3749999999999996E-2</v>
      </c>
      <c r="J95" s="112">
        <f ca="1">IFERROR(__xludf.DUMMYFUNCTION("GOOGLEFINANCE(H95)"),2.16)</f>
        <v>2.16</v>
      </c>
      <c r="K95" s="115">
        <f ca="1">IFERROR(__xludf.DUMMYFUNCTION("GOOGLEFINANCE(H95,""change"")"),0)</f>
        <v>0</v>
      </c>
      <c r="L95" s="58">
        <f t="shared" ca="1" si="55"/>
        <v>0.85185185185185186</v>
      </c>
      <c r="M95" s="27">
        <f t="array" aca="1" ref="M95" ca="1">L95*U95+(25-J95)/25/U95</f>
        <v>6.085409364354569</v>
      </c>
      <c r="N95" s="59" t="s">
        <v>31</v>
      </c>
      <c r="O95" s="59" t="s">
        <v>32</v>
      </c>
      <c r="P95" s="59" t="s">
        <v>32</v>
      </c>
      <c r="Q95" s="29">
        <v>0.46</v>
      </c>
      <c r="R95" s="64">
        <v>45904</v>
      </c>
      <c r="S95" s="36" t="s">
        <v>41</v>
      </c>
      <c r="T95" s="62" t="s">
        <v>79</v>
      </c>
      <c r="U95" s="16">
        <f t="shared" ca="1" si="47"/>
        <v>0.15342465753424658</v>
      </c>
      <c r="V95" s="11" t="str">
        <v>All</v>
      </c>
      <c r="X95">
        <f t="shared" ca="1" si="38"/>
        <v>3.8210470892792356</v>
      </c>
      <c r="Z95" s="17">
        <f t="shared" ca="1" si="39"/>
        <v>46213</v>
      </c>
      <c r="AG95" s="33">
        <f t="shared" ca="1" si="40"/>
        <v>1.8421007105347869</v>
      </c>
      <c r="AH95">
        <f t="shared" ca="1" si="41"/>
        <v>0.98339446427561694</v>
      </c>
      <c r="AI95">
        <f t="shared" ca="1" si="42"/>
        <v>0.88775565980696602</v>
      </c>
      <c r="AJ95">
        <f t="shared" ca="1" si="43"/>
        <v>0.85707521963728761</v>
      </c>
      <c r="AK95">
        <f t="shared" ca="1" si="44"/>
        <v>0.85269379590299577</v>
      </c>
    </row>
    <row r="96" spans="1:37" ht="17.25" customHeight="1">
      <c r="A96" s="19"/>
      <c r="B96" s="45" t="s">
        <v>122</v>
      </c>
      <c r="C96" s="28" t="s">
        <v>27</v>
      </c>
      <c r="D96" s="28" t="s">
        <v>27</v>
      </c>
      <c r="E96" s="28" t="s">
        <v>117</v>
      </c>
      <c r="F96" s="36" t="s">
        <v>29</v>
      </c>
      <c r="G96" s="28" t="s">
        <v>30</v>
      </c>
      <c r="H96" s="55" t="str">
        <f>HYPERLINK("https://innovativeincomeinvestor.com/security/b-riley-financial-inc-5-25-senior-notes-due-2028/","RILYZ")</f>
        <v>RILYZ</v>
      </c>
      <c r="I96" s="85">
        <v>5.2499999999999998E-2</v>
      </c>
      <c r="J96" s="65">
        <f ca="1">IFERROR(__xludf.DUMMYFUNCTION("GoogleFinance(H96)"),7.81)</f>
        <v>7.81</v>
      </c>
      <c r="K96" s="67">
        <f ca="1">IFERROR(__xludf.DUMMYFUNCTION("googlefinance(H96,""change"")"),0.01)</f>
        <v>0.01</v>
      </c>
      <c r="L96" s="27">
        <f t="shared" ca="1" si="55"/>
        <v>0.16901408450704228</v>
      </c>
      <c r="M96" s="27">
        <f ca="1">(25-J96)/25</f>
        <v>0.6876000000000001</v>
      </c>
      <c r="N96" s="28" t="s">
        <v>31</v>
      </c>
      <c r="O96" s="28" t="s">
        <v>32</v>
      </c>
      <c r="P96" s="28" t="s">
        <v>32</v>
      </c>
      <c r="Q96" s="29">
        <v>0.33</v>
      </c>
      <c r="R96" s="53">
        <v>45169</v>
      </c>
      <c r="S96" s="61">
        <v>46996</v>
      </c>
      <c r="T96" s="62" t="s">
        <v>79</v>
      </c>
      <c r="U96" s="16">
        <f t="shared" ca="1" si="47"/>
        <v>-1.8602739726027397</v>
      </c>
      <c r="V96" s="11" t="str">
        <v>All</v>
      </c>
      <c r="X96">
        <f t="shared" ca="1" si="38"/>
        <v>1.4656800106804746</v>
      </c>
      <c r="Z96" s="17">
        <f t="shared" ca="1" si="39"/>
        <v>46213</v>
      </c>
      <c r="AG96" s="33">
        <f t="shared" ca="1" si="40"/>
        <v>0.73473345313638261</v>
      </c>
      <c r="AH96">
        <f t="shared" ca="1" si="41"/>
        <v>0.34681161952495571</v>
      </c>
      <c r="AI96">
        <f t="shared" ca="1" si="42"/>
        <v>0.27816624102219067</v>
      </c>
      <c r="AJ96">
        <f t="shared" ca="1" si="43"/>
        <v>0.22905421341303328</v>
      </c>
      <c r="AK96">
        <f t="shared" ca="1" si="44"/>
        <v>0.18012210117605382</v>
      </c>
    </row>
    <row r="97" spans="1:37" ht="17.25" customHeight="1">
      <c r="A97" s="19"/>
      <c r="B97" s="45" t="s">
        <v>122</v>
      </c>
      <c r="C97" s="28" t="s">
        <v>27</v>
      </c>
      <c r="D97" s="28" t="s">
        <v>27</v>
      </c>
      <c r="E97" s="28" t="s">
        <v>117</v>
      </c>
      <c r="F97" s="36" t="s">
        <v>29</v>
      </c>
      <c r="G97" s="28" t="s">
        <v>30</v>
      </c>
      <c r="H97" s="23" t="str">
        <f>HYPERLINK("https://innovativeincomeinvestor.com/security/b-riley-financial-inc-5-00-senior-notes-due-2026/","RILYG")</f>
        <v>RILYG</v>
      </c>
      <c r="I97" s="85">
        <v>0.05</v>
      </c>
      <c r="J97" s="65">
        <f ca="1">IFERROR(__xludf.DUMMYFUNCTION("GoogleFinance(H97)"),13.71)</f>
        <v>13.71</v>
      </c>
      <c r="K97" s="67">
        <f ca="1">IFERROR(__xludf.DUMMYFUNCTION("googlefinance(H97,""change"")"),0.15)</f>
        <v>0.15</v>
      </c>
      <c r="L97" s="27">
        <f t="shared" ca="1" si="55"/>
        <v>9.1174325309992699E-2</v>
      </c>
      <c r="M97" s="27">
        <f t="array" aca="1" ref="M97" ca="1">L97*U97+(25-J97)/25/U97</f>
        <v>0.47927049551099754</v>
      </c>
      <c r="N97" s="28" t="s">
        <v>31</v>
      </c>
      <c r="O97" s="28" t="s">
        <v>32</v>
      </c>
      <c r="P97" s="28" t="s">
        <v>32</v>
      </c>
      <c r="Q97" s="29">
        <v>0.3125</v>
      </c>
      <c r="R97" s="53">
        <v>46297</v>
      </c>
      <c r="S97" s="61">
        <v>46387</v>
      </c>
      <c r="T97" s="62" t="s">
        <v>79</v>
      </c>
      <c r="U97" s="16">
        <f t="shared" ca="1" si="47"/>
        <v>1.2301369863013698</v>
      </c>
      <c r="V97" s="11" t="str">
        <v>All</v>
      </c>
      <c r="X97">
        <f t="shared" ca="1" si="38"/>
        <v>0.72224021688472495</v>
      </c>
      <c r="Z97" s="17">
        <f t="shared" ca="1" si="39"/>
        <v>46213</v>
      </c>
      <c r="AG97" s="33">
        <f t="shared" ca="1" si="40"/>
        <v>0.38354433956205486</v>
      </c>
      <c r="AH97">
        <f t="shared" ca="1" si="41"/>
        <v>0.19278987207837289</v>
      </c>
      <c r="AI97">
        <f t="shared" ca="1" si="42"/>
        <v>0.15775241782994973</v>
      </c>
      <c r="AJ97">
        <f t="shared" ca="1" si="43"/>
        <v>0.13200757495724014</v>
      </c>
      <c r="AK97">
        <f t="shared" ca="1" si="44"/>
        <v>0.10382584817392007</v>
      </c>
    </row>
    <row r="98" spans="1:37" ht="17.25" customHeight="1">
      <c r="A98" s="19"/>
      <c r="B98" s="45" t="s">
        <v>123</v>
      </c>
      <c r="C98" s="28" t="s">
        <v>35</v>
      </c>
      <c r="D98" s="28" t="s">
        <v>35</v>
      </c>
      <c r="E98" s="28" t="s">
        <v>117</v>
      </c>
      <c r="F98" s="36" t="s">
        <v>29</v>
      </c>
      <c r="G98" s="28" t="s">
        <v>38</v>
      </c>
      <c r="H98" s="83" t="str">
        <f>HYPERLINK("https://innovativeincomeinvestor.com/security/b-riley-financial-inc-6-875-series-a-cumulative-preferred-stock/","RILYP")</f>
        <v>RILYP</v>
      </c>
      <c r="I98" s="47">
        <v>6.8750000000000006E-2</v>
      </c>
      <c r="J98" s="116">
        <f ca="1">IFERROR(__xludf.DUMMYFUNCTION("GOOGLEFINANCE(H98)"),2.19)</f>
        <v>2.19</v>
      </c>
      <c r="K98" s="115">
        <f ca="1">IFERROR(__xludf.DUMMYFUNCTION("GOOGLEFINANCE(H98,""change"")"),0.02)</f>
        <v>0.02</v>
      </c>
      <c r="L98" s="117" t="s">
        <v>124</v>
      </c>
      <c r="M98" s="27">
        <f t="shared" ref="M98:M99" ca="1" si="57">(25-J98)/25</f>
        <v>0.91239999999999999</v>
      </c>
      <c r="N98" s="59" t="s">
        <v>31</v>
      </c>
      <c r="O98" s="59" t="s">
        <v>32</v>
      </c>
      <c r="P98" s="59" t="s">
        <v>32</v>
      </c>
      <c r="Q98" s="118" t="s">
        <v>124</v>
      </c>
      <c r="R98" s="64">
        <v>45572</v>
      </c>
      <c r="S98" s="54" t="s">
        <v>41</v>
      </c>
      <c r="T98" s="62" t="s">
        <v>79</v>
      </c>
      <c r="U98" s="16">
        <f t="shared" ca="1" si="47"/>
        <v>-0.75616438356164384</v>
      </c>
      <c r="V98" s="11" t="str">
        <v>All</v>
      </c>
      <c r="X98">
        <f t="shared" ca="1" si="38"/>
        <v>3.7597969807421987</v>
      </c>
      <c r="Z98" s="17">
        <f t="shared" ca="1" si="39"/>
        <v>46213</v>
      </c>
      <c r="AG98" s="33">
        <f t="shared" ca="1" si="40"/>
        <v>1.7978972348965185</v>
      </c>
      <c r="AH98">
        <f t="shared" ca="1" si="41"/>
        <v>0.93365345055829174</v>
      </c>
      <c r="AI98">
        <f t="shared" ca="1" si="42"/>
        <v>0.8291312088415741</v>
      </c>
      <c r="AJ98">
        <f t="shared" ca="1" si="43"/>
        <v>0.79060988633804286</v>
      </c>
      <c r="AK98">
        <f t="shared" ca="1" si="44"/>
        <v>0.78411908176440093</v>
      </c>
    </row>
    <row r="99" spans="1:37" ht="17.25" customHeight="1">
      <c r="A99" s="19"/>
      <c r="B99" s="45" t="s">
        <v>123</v>
      </c>
      <c r="C99" s="28" t="s">
        <v>27</v>
      </c>
      <c r="D99" s="28" t="s">
        <v>27</v>
      </c>
      <c r="E99" s="28" t="s">
        <v>117</v>
      </c>
      <c r="F99" s="36" t="s">
        <v>29</v>
      </c>
      <c r="G99" s="28" t="s">
        <v>30</v>
      </c>
      <c r="H99" s="83" t="str">
        <f>HYPERLINK("https://innovativeincomeinvestor.com/security/b-riley-financial-inc-6-50-senior-notes-due-2026/","RILYN")</f>
        <v>RILYN</v>
      </c>
      <c r="I99" s="47">
        <v>6.5000000000000002E-2</v>
      </c>
      <c r="J99" s="116">
        <f ca="1">IFERROR(__xludf.DUMMYFUNCTION("GOOGLEFINANCE(H99)"),14.49)</f>
        <v>14.49</v>
      </c>
      <c r="K99" s="115">
        <f ca="1">IFERROR(__xludf.DUMMYFUNCTION("GOOGLEFINANCE(H99,""change"")"),0.29)</f>
        <v>0.28999999999999998</v>
      </c>
      <c r="L99" s="58">
        <f ca="1">(Q99*4)/J99</f>
        <v>0.11216011042097998</v>
      </c>
      <c r="M99" s="27">
        <f t="shared" ca="1" si="57"/>
        <v>0.4204</v>
      </c>
      <c r="N99" s="59" t="s">
        <v>31</v>
      </c>
      <c r="O99" s="59" t="s">
        <v>32</v>
      </c>
      <c r="P99" s="59" t="s">
        <v>32</v>
      </c>
      <c r="Q99" s="29">
        <v>0.40629999999999999</v>
      </c>
      <c r="R99" s="64">
        <v>44834</v>
      </c>
      <c r="S99" s="61">
        <v>46295</v>
      </c>
      <c r="T99" s="62" t="s">
        <v>79</v>
      </c>
      <c r="U99" s="16">
        <f t="shared" ca="1" si="47"/>
        <v>-2.7780821917808218</v>
      </c>
      <c r="V99" s="11" t="str">
        <v>All</v>
      </c>
      <c r="X99">
        <f t="shared" ca="1" si="38"/>
        <v>0.67713365901949141</v>
      </c>
      <c r="Z99" s="17">
        <f t="shared" ca="1" si="39"/>
        <v>46213</v>
      </c>
      <c r="AG99" s="33">
        <f t="shared" ca="1" si="40"/>
        <v>0.3723042798938524</v>
      </c>
      <c r="AH99">
        <f t="shared" ca="1" si="41"/>
        <v>0.19997033515224827</v>
      </c>
      <c r="AI99">
        <f t="shared" ca="1" si="42"/>
        <v>0.16842483896780305</v>
      </c>
      <c r="AJ99">
        <f t="shared" ca="1" si="43"/>
        <v>0.14542987674241792</v>
      </c>
      <c r="AK99">
        <f t="shared" ca="1" si="44"/>
        <v>0.12106287572737782</v>
      </c>
    </row>
    <row r="100" spans="1:37" ht="17.25" customHeight="1">
      <c r="A100" s="19"/>
      <c r="B100" s="45" t="s">
        <v>123</v>
      </c>
      <c r="C100" s="28" t="s">
        <v>27</v>
      </c>
      <c r="D100" s="28" t="s">
        <v>27</v>
      </c>
      <c r="E100" s="28" t="s">
        <v>117</v>
      </c>
      <c r="F100" s="36" t="s">
        <v>29</v>
      </c>
      <c r="G100" s="28" t="s">
        <v>30</v>
      </c>
      <c r="H100" s="51" t="str">
        <f>HYPERLINK("https://innovativeincomeinvestor.com/security/b-riley-financial-inc-6-75-senior-notes-due-2024/","RILYO")</f>
        <v>RILYO</v>
      </c>
      <c r="I100" s="85">
        <v>6.7500000000000004E-2</v>
      </c>
      <c r="J100" s="79" t="s">
        <v>68</v>
      </c>
      <c r="K100" s="80" t="s">
        <v>68</v>
      </c>
      <c r="L100" s="81" t="s">
        <v>68</v>
      </c>
      <c r="M100" s="81" t="s">
        <v>68</v>
      </c>
      <c r="N100" s="28" t="s">
        <v>31</v>
      </c>
      <c r="O100" s="28" t="s">
        <v>32</v>
      </c>
      <c r="P100" s="28" t="s">
        <v>32</v>
      </c>
      <c r="Q100" s="29">
        <f>(I100*25)/4</f>
        <v>0.421875</v>
      </c>
      <c r="R100" s="53">
        <v>44347</v>
      </c>
      <c r="S100" s="61">
        <v>45443</v>
      </c>
      <c r="T100" s="62" t="s">
        <v>79</v>
      </c>
      <c r="U100" s="16">
        <f t="shared" ca="1" si="47"/>
        <v>-4.1123287671232873</v>
      </c>
      <c r="V100" s="11" t="str">
        <v>All</v>
      </c>
      <c r="X100" t="e">
        <f t="shared" ca="1" si="38"/>
        <v>#VALUE!</v>
      </c>
      <c r="Z100" s="17">
        <f t="shared" ca="1" si="39"/>
        <v>46213</v>
      </c>
      <c r="AG100" s="33" t="e">
        <f t="shared" ca="1" si="40"/>
        <v>#VALUE!</v>
      </c>
      <c r="AH100" t="e">
        <f t="shared" ca="1" si="41"/>
        <v>#VALUE!</v>
      </c>
      <c r="AI100" t="e">
        <f t="shared" ca="1" si="42"/>
        <v>#VALUE!</v>
      </c>
      <c r="AJ100" t="e">
        <f t="shared" ca="1" si="43"/>
        <v>#VALUE!</v>
      </c>
      <c r="AK100" t="e">
        <f t="shared" ca="1" si="44"/>
        <v>#VALUE!</v>
      </c>
    </row>
    <row r="101" spans="1:37" ht="17.25" customHeight="1">
      <c r="A101" s="19"/>
      <c r="B101" s="45" t="s">
        <v>123</v>
      </c>
      <c r="C101" s="28" t="s">
        <v>27</v>
      </c>
      <c r="D101" s="28" t="s">
        <v>27</v>
      </c>
      <c r="E101" s="28" t="s">
        <v>117</v>
      </c>
      <c r="F101" s="36" t="s">
        <v>29</v>
      </c>
      <c r="G101" s="28" t="s">
        <v>30</v>
      </c>
      <c r="H101" s="23" t="str">
        <f>HYPERLINK("https://innovativeincomeinvestor.com/security/b-riley-financial-inc-6-375-senior-notes-due-2025/","RILYM")</f>
        <v>RILYM</v>
      </c>
      <c r="I101" s="85">
        <v>6.3750000000000001E-2</v>
      </c>
      <c r="J101" s="79" t="s">
        <v>68</v>
      </c>
      <c r="K101" s="80" t="s">
        <v>68</v>
      </c>
      <c r="L101" s="81" t="s">
        <v>68</v>
      </c>
      <c r="M101" s="27" t="e">
        <f t="shared" ref="M101:M102" si="58">(25-J101)/25</f>
        <v>#VALUE!</v>
      </c>
      <c r="N101" s="28" t="s">
        <v>31</v>
      </c>
      <c r="O101" s="28" t="s">
        <v>32</v>
      </c>
      <c r="P101" s="28" t="s">
        <v>32</v>
      </c>
      <c r="Q101" s="29">
        <v>0.4</v>
      </c>
      <c r="R101" s="53">
        <v>44255</v>
      </c>
      <c r="S101" s="61">
        <v>45716</v>
      </c>
      <c r="T101" s="62" t="s">
        <v>79</v>
      </c>
      <c r="U101" s="16">
        <f t="shared" ca="1" si="47"/>
        <v>-4.3643835616438356</v>
      </c>
      <c r="V101" s="11" t="str">
        <v>All</v>
      </c>
      <c r="X101" t="e">
        <f t="shared" ca="1" si="38"/>
        <v>#VALUE!</v>
      </c>
      <c r="Z101" s="17">
        <f t="shared" ca="1" si="39"/>
        <v>46213</v>
      </c>
      <c r="AG101" s="33" t="e">
        <f t="shared" ca="1" si="40"/>
        <v>#VALUE!</v>
      </c>
      <c r="AH101" t="e">
        <f t="shared" ca="1" si="41"/>
        <v>#VALUE!</v>
      </c>
      <c r="AI101" t="e">
        <f t="shared" ca="1" si="42"/>
        <v>#VALUE!</v>
      </c>
      <c r="AJ101" t="e">
        <f t="shared" ca="1" si="43"/>
        <v>#VALUE!</v>
      </c>
      <c r="AK101" t="e">
        <f t="shared" ca="1" si="44"/>
        <v>#VALUE!</v>
      </c>
    </row>
    <row r="102" spans="1:37" ht="17.25" customHeight="1">
      <c r="A102" s="19"/>
      <c r="B102" s="45" t="s">
        <v>123</v>
      </c>
      <c r="C102" s="28" t="s">
        <v>27</v>
      </c>
      <c r="D102" s="28" t="s">
        <v>27</v>
      </c>
      <c r="E102" s="28" t="s">
        <v>117</v>
      </c>
      <c r="F102" s="36" t="s">
        <v>29</v>
      </c>
      <c r="G102" s="28" t="s">
        <v>30</v>
      </c>
      <c r="H102" s="119" t="str">
        <f>HYPERLINK("https://innovativeincomeinvestor.com/security/b-riley-financial-inc-6-00-senior-notes-due-2028/","RILYT")</f>
        <v>RILYT</v>
      </c>
      <c r="I102" s="85">
        <v>0.06</v>
      </c>
      <c r="J102" s="65">
        <f ca="1">IFERROR(__xludf.DUMMYFUNCTION("GoogleFinance(H102)"),8.23)</f>
        <v>8.23</v>
      </c>
      <c r="K102" s="67">
        <f ca="1">IFERROR(__xludf.DUMMYFUNCTION("googlefinance(H102,""change"")"),0.04)</f>
        <v>0.04</v>
      </c>
      <c r="L102" s="27">
        <f t="shared" ref="L102:L116" ca="1" si="59">(Q102*4)/J102</f>
        <v>0.18226002430133656</v>
      </c>
      <c r="M102" s="27">
        <f t="shared" ca="1" si="58"/>
        <v>0.67079999999999995</v>
      </c>
      <c r="N102" s="28" t="s">
        <v>31</v>
      </c>
      <c r="O102" s="28" t="s">
        <v>32</v>
      </c>
      <c r="P102" s="28" t="s">
        <v>32</v>
      </c>
      <c r="Q102" s="29">
        <v>0.375</v>
      </c>
      <c r="R102" s="53">
        <v>44592</v>
      </c>
      <c r="S102" s="61">
        <v>46783</v>
      </c>
      <c r="T102" s="62" t="s">
        <v>79</v>
      </c>
      <c r="U102" s="16">
        <f t="shared" ca="1" si="47"/>
        <v>-3.441095890410959</v>
      </c>
      <c r="V102" s="11" t="str">
        <v>All</v>
      </c>
      <c r="X102">
        <f t="shared" ca="1" si="38"/>
        <v>1.4077876139595307</v>
      </c>
      <c r="Z102" s="17">
        <f t="shared" ca="1" si="39"/>
        <v>46213</v>
      </c>
      <c r="AG102" s="33">
        <f t="shared" ca="1" si="40"/>
        <v>0.71600432318353857</v>
      </c>
      <c r="AH102">
        <f t="shared" ca="1" si="41"/>
        <v>0.34745316482928873</v>
      </c>
      <c r="AI102">
        <f t="shared" ca="1" si="42"/>
        <v>0.2824234166861862</v>
      </c>
      <c r="AJ102">
        <f t="shared" ca="1" si="43"/>
        <v>0.23624926354548501</v>
      </c>
      <c r="AK102">
        <f t="shared" ca="1" si="44"/>
        <v>0.19172709590963621</v>
      </c>
    </row>
    <row r="103" spans="1:37" ht="17.25" customHeight="1">
      <c r="A103" s="19"/>
      <c r="B103" s="45" t="s">
        <v>123</v>
      </c>
      <c r="C103" s="28" t="s">
        <v>27</v>
      </c>
      <c r="D103" s="28" t="s">
        <v>27</v>
      </c>
      <c r="E103" s="28" t="s">
        <v>117</v>
      </c>
      <c r="F103" s="36" t="s">
        <v>29</v>
      </c>
      <c r="G103" s="28" t="s">
        <v>30</v>
      </c>
      <c r="H103" s="46" t="str">
        <f>HYPERLINK("https://innovativeincomeinvestor.com/security/b-riley-financial-inc-5-50-senior-notes-due-2026/","RILYK")</f>
        <v>RILYK</v>
      </c>
      <c r="I103" s="85">
        <v>5.5E-2</v>
      </c>
      <c r="J103" s="65">
        <f ca="1">IFERROR(__xludf.DUMMYFUNCTION("GoogleFinance(H103)"),20.52)</f>
        <v>20.52</v>
      </c>
      <c r="K103" s="67">
        <f ca="1">IFERROR(__xludf.DUMMYFUNCTION("googlefinance(H103,""change"")"),-0.13)</f>
        <v>-0.13</v>
      </c>
      <c r="L103" s="27">
        <f t="shared" ca="1" si="59"/>
        <v>6.6276803118908392E-2</v>
      </c>
      <c r="M103" s="27">
        <f t="shared" ref="M103:M104" ca="1" si="60">L103*U103+(25-J103)/25/U103</f>
        <v>0.4055365494405726</v>
      </c>
      <c r="N103" s="28" t="s">
        <v>31</v>
      </c>
      <c r="O103" s="28" t="s">
        <v>32</v>
      </c>
      <c r="P103" s="28" t="s">
        <v>32</v>
      </c>
      <c r="Q103" s="29">
        <v>0.34</v>
      </c>
      <c r="R103" s="53">
        <v>46023</v>
      </c>
      <c r="S103" s="61">
        <v>46112</v>
      </c>
      <c r="T103" s="62" t="s">
        <v>79</v>
      </c>
      <c r="U103" s="16">
        <f t="shared" ca="1" si="47"/>
        <v>0.47945205479452052</v>
      </c>
      <c r="V103" s="11" t="str">
        <v>All</v>
      </c>
      <c r="X103">
        <f t="shared" ca="1" si="38"/>
        <v>0.26480798561464464</v>
      </c>
      <c r="Z103" s="17">
        <f t="shared" ca="1" si="39"/>
        <v>46213</v>
      </c>
      <c r="AG103" s="33">
        <f t="shared" ca="1" si="40"/>
        <v>0.16164569481635244</v>
      </c>
      <c r="AH103">
        <f t="shared" ca="1" si="41"/>
        <v>0.10112184086574594</v>
      </c>
      <c r="AI103">
        <f t="shared" ca="1" si="42"/>
        <v>8.9777463746606612E-2</v>
      </c>
      <c r="AJ103">
        <f t="shared" ca="1" si="43"/>
        <v>8.136989080827095E-2</v>
      </c>
      <c r="AK103">
        <f t="shared" ca="1" si="44"/>
        <v>7.1978308442521968E-2</v>
      </c>
    </row>
    <row r="104" spans="1:37" ht="17.25" customHeight="1">
      <c r="A104" s="19"/>
      <c r="B104" s="45" t="s">
        <v>125</v>
      </c>
      <c r="C104" s="28" t="s">
        <v>35</v>
      </c>
      <c r="D104" s="28" t="s">
        <v>35</v>
      </c>
      <c r="E104" s="28" t="s">
        <v>67</v>
      </c>
      <c r="F104" s="36" t="s">
        <v>29</v>
      </c>
      <c r="G104" s="28" t="s">
        <v>38</v>
      </c>
      <c r="H104" s="55" t="str">
        <f>HYPERLINK("https://innovativeincomeinvestor.com/security/babcock-and-wilcox-enterprises-inc-7-75-series-a-cumulative-perpetual-preferred/","BW-A")</f>
        <v>BW-A</v>
      </c>
      <c r="I104" s="85">
        <v>7.7499999999999999E-2</v>
      </c>
      <c r="J104" s="25">
        <f ca="1">IFERROR(__xludf.DUMMYFUNCTION("GoogleFinance(H104)"),10.2)</f>
        <v>10.199999999999999</v>
      </c>
      <c r="K104" s="67">
        <f ca="1">IFERROR(__xludf.DUMMYFUNCTION("googlefinance(H104,""change"")"),0.25)</f>
        <v>0.25</v>
      </c>
      <c r="L104" s="27">
        <f t="shared" ca="1" si="59"/>
        <v>0.18980392156862746</v>
      </c>
      <c r="M104" s="27">
        <f t="shared" ca="1" si="60"/>
        <v>0.87439698810393862</v>
      </c>
      <c r="N104" s="28" t="s">
        <v>31</v>
      </c>
      <c r="O104" s="28" t="s">
        <v>32</v>
      </c>
      <c r="P104" s="28" t="s">
        <v>32</v>
      </c>
      <c r="Q104" s="29">
        <v>0.48399999999999999</v>
      </c>
      <c r="R104" s="53">
        <v>46149</v>
      </c>
      <c r="S104" s="36" t="s">
        <v>41</v>
      </c>
      <c r="T104" s="62" t="s">
        <v>42</v>
      </c>
      <c r="U104" s="16">
        <f t="shared" ca="1" si="47"/>
        <v>0.8246575342465754</v>
      </c>
      <c r="V104" s="11" t="str">
        <v>All</v>
      </c>
      <c r="X104">
        <f t="shared" ca="1" si="38"/>
        <v>1.1459871317441219</v>
      </c>
      <c r="Z104" s="17">
        <f t="shared" ca="1" si="39"/>
        <v>46213</v>
      </c>
      <c r="AG104" s="33">
        <f t="shared" ca="1" si="40"/>
        <v>0.60921022386980483</v>
      </c>
      <c r="AH104">
        <f t="shared" ca="1" si="41"/>
        <v>0.31771481319405909</v>
      </c>
      <c r="AI104">
        <f t="shared" ca="1" si="42"/>
        <v>0.26619603317205776</v>
      </c>
      <c r="AJ104">
        <f t="shared" ca="1" si="43"/>
        <v>0.22993978964560563</v>
      </c>
      <c r="AK104">
        <f t="shared" ca="1" si="44"/>
        <v>0.19626289525355672</v>
      </c>
    </row>
    <row r="105" spans="1:37" ht="17.25" customHeight="1">
      <c r="A105" s="19"/>
      <c r="B105" s="45" t="s">
        <v>125</v>
      </c>
      <c r="C105" s="28" t="s">
        <v>27</v>
      </c>
      <c r="D105" s="28" t="s">
        <v>27</v>
      </c>
      <c r="E105" s="28" t="s">
        <v>67</v>
      </c>
      <c r="F105" s="36" t="s">
        <v>29</v>
      </c>
      <c r="G105" s="28" t="s">
        <v>30</v>
      </c>
      <c r="H105" s="46" t="str">
        <f>HYPERLINK("https://innovativeincomeinvestor.com/security/babcock-and-wilcox-enterprises-inc-8-125-senior-notes-due-2-28-2026/","BWSN")</f>
        <v>BWSN</v>
      </c>
      <c r="I105" s="85">
        <v>8.1250000000000003E-2</v>
      </c>
      <c r="J105" s="25">
        <f ca="1">IFERROR(__xludf.DUMMYFUNCTION("GoogleFinance(H105)"),19.99)</f>
        <v>19.989999999999998</v>
      </c>
      <c r="K105" s="67">
        <f ca="1">IFERROR(__xludf.DUMMYFUNCTION("googlefinance(H105,""change"")"),0)</f>
        <v>0</v>
      </c>
      <c r="L105" s="27">
        <f t="shared" ca="1" si="59"/>
        <v>0.10205102551275638</v>
      </c>
      <c r="M105" s="27">
        <f ca="1">(25-J105)/25</f>
        <v>0.20040000000000005</v>
      </c>
      <c r="N105" s="28" t="s">
        <v>31</v>
      </c>
      <c r="O105" s="28" t="s">
        <v>32</v>
      </c>
      <c r="P105" s="28" t="s">
        <v>32</v>
      </c>
      <c r="Q105" s="29">
        <v>0.51</v>
      </c>
      <c r="R105" s="53">
        <v>44620</v>
      </c>
      <c r="S105" s="61">
        <v>46081</v>
      </c>
      <c r="T105" s="62" t="s">
        <v>79</v>
      </c>
      <c r="U105" s="16">
        <f t="shared" ca="1" si="47"/>
        <v>-3.3643835616438356</v>
      </c>
      <c r="V105" s="11" t="str">
        <v>All</v>
      </c>
      <c r="X105">
        <f t="shared" ca="1" si="38"/>
        <v>0.32377883748498615</v>
      </c>
      <c r="Z105" s="17">
        <f t="shared" ca="1" si="39"/>
        <v>46213</v>
      </c>
      <c r="AG105" s="33">
        <f t="shared" ca="1" si="40"/>
        <v>0.20603216801620622</v>
      </c>
      <c r="AH105">
        <f t="shared" ca="1" si="41"/>
        <v>0.13733239860740451</v>
      </c>
      <c r="AI105">
        <f t="shared" ca="1" si="42"/>
        <v>0.12459190815652256</v>
      </c>
      <c r="AJ105">
        <f t="shared" ca="1" si="43"/>
        <v>0.11527980193367034</v>
      </c>
      <c r="AK105">
        <f t="shared" ca="1" si="44"/>
        <v>0.10538636586059458</v>
      </c>
    </row>
    <row r="106" spans="1:37" ht="17.25" customHeight="1">
      <c r="A106" s="19"/>
      <c r="B106" s="45" t="s">
        <v>125</v>
      </c>
      <c r="C106" s="28" t="s">
        <v>126</v>
      </c>
      <c r="D106" s="28" t="s">
        <v>27</v>
      </c>
      <c r="E106" s="28" t="s">
        <v>67</v>
      </c>
      <c r="F106" s="36" t="s">
        <v>29</v>
      </c>
      <c r="G106" s="28" t="s">
        <v>30</v>
      </c>
      <c r="H106" s="23" t="str">
        <f>HYPERLINK("https://innovativeincomeinvestor.com/security/babcock-wilcox-enterprises-inc-6-50-senior-notes-due-2026/","BWNB")</f>
        <v>BWNB</v>
      </c>
      <c r="I106" s="47">
        <v>6.5000000000000002E-2</v>
      </c>
      <c r="J106" s="25">
        <f ca="1">IFERROR(__xludf.DUMMYFUNCTION("GoogleFinance(H106)"),16.18)</f>
        <v>16.18</v>
      </c>
      <c r="K106" s="67">
        <f ca="1">IFERROR(__xludf.DUMMYFUNCTION("googlefinance(H106,""change"")"),-0.07)</f>
        <v>-7.0000000000000007E-2</v>
      </c>
      <c r="L106" s="27">
        <f t="shared" ca="1" si="59"/>
        <v>0.10043263288009889</v>
      </c>
      <c r="M106" s="27">
        <f t="shared" ref="M106:M107" ca="1" si="61">L106*U106+(25-J106)/25/U106</f>
        <v>0.41034322373164611</v>
      </c>
      <c r="N106" s="28" t="s">
        <v>31</v>
      </c>
      <c r="O106" s="28" t="s">
        <v>32</v>
      </c>
      <c r="P106" s="28" t="s">
        <v>32</v>
      </c>
      <c r="Q106" s="29">
        <f>(I106*25)/4</f>
        <v>0.40625</v>
      </c>
      <c r="R106" s="64">
        <v>46297</v>
      </c>
      <c r="S106" s="61">
        <v>46387</v>
      </c>
      <c r="T106" s="62" t="s">
        <v>42</v>
      </c>
      <c r="U106" s="16">
        <f t="shared" ca="1" si="47"/>
        <v>1.2301369863013698</v>
      </c>
      <c r="V106" s="11" t="str">
        <v>All</v>
      </c>
      <c r="X106">
        <f t="shared" ca="1" si="38"/>
        <v>0.54581371372176624</v>
      </c>
      <c r="Z106" s="17">
        <f t="shared" ca="1" si="39"/>
        <v>46213</v>
      </c>
      <c r="AG106" s="33">
        <f t="shared" ca="1" si="40"/>
        <v>0.30771498150921317</v>
      </c>
      <c r="AH106">
        <f t="shared" ca="1" si="41"/>
        <v>0.17154675232027558</v>
      </c>
      <c r="AI106">
        <f t="shared" ca="1" si="42"/>
        <v>0.14645056918605459</v>
      </c>
      <c r="AJ106">
        <f t="shared" ca="1" si="43"/>
        <v>0.12807706945470632</v>
      </c>
      <c r="AK106">
        <f t="shared" ca="1" si="44"/>
        <v>0.1083371517866572</v>
      </c>
    </row>
    <row r="107" spans="1:37" ht="17.25" customHeight="1">
      <c r="A107" s="19"/>
      <c r="B107" s="45" t="s">
        <v>127</v>
      </c>
      <c r="C107" s="28" t="s">
        <v>27</v>
      </c>
      <c r="D107" s="28" t="s">
        <v>35</v>
      </c>
      <c r="E107" s="28" t="s">
        <v>110</v>
      </c>
      <c r="F107" s="36" t="s">
        <v>61</v>
      </c>
      <c r="G107" s="28" t="s">
        <v>38</v>
      </c>
      <c r="H107" s="23" t="str">
        <f>HYPERLINK("https://innovativeincomeinvestor.com/security/pacwest-bancorp-7-75-fixed-rate-reset-non-cumulative-perpetual-preferred-stock-series-a/","BANC-F")</f>
        <v>BANC-F</v>
      </c>
      <c r="I107" s="47">
        <v>7.7499999999999999E-2</v>
      </c>
      <c r="J107" s="65">
        <f ca="1">IFERROR(__xludf.DUMMYFUNCTION("GoogleFinance(H107)"),24.86)</f>
        <v>24.86</v>
      </c>
      <c r="K107" s="65" t="s">
        <v>49</v>
      </c>
      <c r="L107" s="27">
        <f t="shared" ca="1" si="59"/>
        <v>7.7232502011263068E-2</v>
      </c>
      <c r="M107" s="27">
        <f t="shared" ca="1" si="61"/>
        <v>0.1682900590478604</v>
      </c>
      <c r="N107" s="28" t="s">
        <v>31</v>
      </c>
      <c r="O107" s="29" t="s">
        <v>32</v>
      </c>
      <c r="P107" s="28" t="s">
        <v>32</v>
      </c>
      <c r="Q107" s="29">
        <v>0.48</v>
      </c>
      <c r="R107" s="64">
        <v>46631</v>
      </c>
      <c r="S107" s="54" t="s">
        <v>41</v>
      </c>
      <c r="T107" s="50" t="s">
        <v>81</v>
      </c>
      <c r="U107" s="16">
        <f t="shared" ca="1" si="47"/>
        <v>2.1452054794520548</v>
      </c>
      <c r="V107" s="11" t="str">
        <v>All</v>
      </c>
      <c r="X107">
        <f t="shared" ca="1" si="38"/>
        <v>8.3394893163712819E-2</v>
      </c>
      <c r="Z107" s="17">
        <f t="shared" ca="1" si="39"/>
        <v>46213</v>
      </c>
      <c r="AG107" s="33">
        <f t="shared" ca="1" si="40"/>
        <v>8.055966370931622E-2</v>
      </c>
      <c r="AH107">
        <f t="shared" ca="1" si="41"/>
        <v>7.8866281518648662E-2</v>
      </c>
      <c r="AI107">
        <f t="shared" ca="1" si="42"/>
        <v>7.8547485541436576E-2</v>
      </c>
      <c r="AJ107">
        <f t="shared" ca="1" si="43"/>
        <v>7.8312510750388045E-2</v>
      </c>
      <c r="AK107">
        <f t="shared" ca="1" si="44"/>
        <v>7.8054658802768934E-2</v>
      </c>
    </row>
    <row r="108" spans="1:37" ht="17.25" customHeight="1">
      <c r="A108" s="19"/>
      <c r="B108" s="45" t="s">
        <v>128</v>
      </c>
      <c r="C108" s="28" t="s">
        <v>35</v>
      </c>
      <c r="D108" s="28" t="s">
        <v>36</v>
      </c>
      <c r="E108" s="28" t="s">
        <v>37</v>
      </c>
      <c r="F108" s="36" t="s">
        <v>29</v>
      </c>
      <c r="G108" s="28" t="s">
        <v>38</v>
      </c>
      <c r="H108" s="51" t="str">
        <f>HYPERLINK("https://innovativeincomeinvestor.com/security/bancroft-fund-ltd-5-375-series-a-cumulative-preferred-shares/","BCV-A")</f>
        <v>BCV-A</v>
      </c>
      <c r="I108" s="47">
        <v>5.3850000000000002E-2</v>
      </c>
      <c r="J108" s="65">
        <f ca="1">IFERROR(__xludf.DUMMYFUNCTION("GoogleFinance(H108)"),21.8)</f>
        <v>21.8</v>
      </c>
      <c r="K108" s="48">
        <f ca="1">IFERROR(__xludf.DUMMYFUNCTION("googlefinance(H108,""change"")"),-0.05)</f>
        <v>-0.05</v>
      </c>
      <c r="L108" s="27">
        <f t="shared" ca="1" si="59"/>
        <v>6.1754587155963298E-2</v>
      </c>
      <c r="M108" s="27">
        <f ca="1">(25-J108)/25</f>
        <v>0.12799999999999997</v>
      </c>
      <c r="N108" s="28" t="s">
        <v>39</v>
      </c>
      <c r="O108" s="28" t="s">
        <v>32</v>
      </c>
      <c r="P108" s="28" t="s">
        <v>129</v>
      </c>
      <c r="Q108" s="29">
        <f t="shared" ref="Q108:Q111" si="62">(I108*25)/4</f>
        <v>0.33656249999999999</v>
      </c>
      <c r="R108" s="64">
        <v>44417</v>
      </c>
      <c r="S108" s="54" t="s">
        <v>41</v>
      </c>
      <c r="T108" s="62" t="s">
        <v>130</v>
      </c>
      <c r="U108" s="16">
        <f t="shared" ca="1" si="47"/>
        <v>-3.9205479452054797</v>
      </c>
      <c r="V108" s="11" t="str">
        <v>All</v>
      </c>
      <c r="X108">
        <f t="shared" ca="1" si="38"/>
        <v>0.19807901559656321</v>
      </c>
      <c r="Z108" s="17">
        <f t="shared" ca="1" si="39"/>
        <v>46213</v>
      </c>
      <c r="AG108" s="33">
        <f t="shared" ca="1" si="40"/>
        <v>0.12735445720297811</v>
      </c>
      <c r="AH108">
        <f t="shared" ca="1" si="41"/>
        <v>8.5600707959083366E-2</v>
      </c>
      <c r="AI108">
        <f t="shared" ca="1" si="42"/>
        <v>7.7747325910798817E-2</v>
      </c>
      <c r="AJ108">
        <f t="shared" ca="1" si="43"/>
        <v>7.1916064378121689E-2</v>
      </c>
      <c r="AK108">
        <f t="shared" ca="1" si="44"/>
        <v>6.5369019960888411E-2</v>
      </c>
    </row>
    <row r="109" spans="1:37" ht="17.25" customHeight="1">
      <c r="A109" s="19"/>
      <c r="B109" s="45" t="s">
        <v>131</v>
      </c>
      <c r="C109" s="28" t="s">
        <v>27</v>
      </c>
      <c r="D109" s="28" t="s">
        <v>35</v>
      </c>
      <c r="E109" s="28" t="s">
        <v>110</v>
      </c>
      <c r="F109" s="36" t="s">
        <v>29</v>
      </c>
      <c r="G109" s="28" t="s">
        <v>38</v>
      </c>
      <c r="H109" s="51" t="str">
        <f>HYPERLINK("https://innovativeincomeinvestor.com/security/bank-of-america-6-00-non-cumulative-preferred-stock-series-gg/","BAC-B")</f>
        <v>BAC-B</v>
      </c>
      <c r="I109" s="47">
        <v>0.06</v>
      </c>
      <c r="J109" s="65">
        <f ca="1">IFERROR(__xludf.DUMMYFUNCTION("GoogleFinance(H109)"),25.08)</f>
        <v>25.08</v>
      </c>
      <c r="K109" s="67">
        <f ca="1">IFERROR(__xludf.DUMMYFUNCTION("googlefinance(H109,""change"")"),-0.09)</f>
        <v>-0.09</v>
      </c>
      <c r="L109" s="27">
        <f t="shared" ca="1" si="59"/>
        <v>5.9808612440191394E-2</v>
      </c>
      <c r="M109" s="27">
        <f t="shared" ref="M109:M115" ca="1" si="63">L109*U109+(25-J109)/25/U109</f>
        <v>-0.12216668531695583</v>
      </c>
      <c r="N109" s="28" t="s">
        <v>39</v>
      </c>
      <c r="O109" s="28" t="s">
        <v>55</v>
      </c>
      <c r="P109" s="28" t="s">
        <v>64</v>
      </c>
      <c r="Q109" s="29">
        <f t="shared" si="62"/>
        <v>0.375</v>
      </c>
      <c r="R109" s="64">
        <v>45093</v>
      </c>
      <c r="S109" s="65" t="s">
        <v>41</v>
      </c>
      <c r="T109" s="62" t="s">
        <v>132</v>
      </c>
      <c r="U109" s="16">
        <f t="shared" ca="1" si="47"/>
        <v>-2.0684931506849313</v>
      </c>
      <c r="V109" s="11" t="str">
        <v>All</v>
      </c>
      <c r="X109">
        <f t="shared" ca="1" si="38"/>
        <v>5.6685830701400146E-2</v>
      </c>
      <c r="Z109" s="17">
        <f t="shared" ca="1" si="39"/>
        <v>46213</v>
      </c>
      <c r="AG109" s="33">
        <f t="shared" ca="1" si="40"/>
        <v>5.8293301326438243E-2</v>
      </c>
      <c r="AH109">
        <f t="shared" ca="1" si="41"/>
        <v>5.9255185276470175E-2</v>
      </c>
      <c r="AI109">
        <f t="shared" ca="1" si="42"/>
        <v>5.9437060120994964E-2</v>
      </c>
      <c r="AJ109">
        <f t="shared" ca="1" si="43"/>
        <v>5.9572472476701097E-2</v>
      </c>
      <c r="AK109">
        <f t="shared" ca="1" si="44"/>
        <v>5.9724194177918924E-2</v>
      </c>
    </row>
    <row r="110" spans="1:37" ht="17.25" customHeight="1">
      <c r="A110" s="19"/>
      <c r="B110" s="45" t="s">
        <v>131</v>
      </c>
      <c r="C110" s="28" t="s">
        <v>27</v>
      </c>
      <c r="D110" s="28" t="s">
        <v>35</v>
      </c>
      <c r="E110" s="28" t="s">
        <v>110</v>
      </c>
      <c r="F110" s="36" t="s">
        <v>29</v>
      </c>
      <c r="G110" s="28" t="s">
        <v>38</v>
      </c>
      <c r="H110" s="51" t="str">
        <f>HYPERLINK("https://innovativeincomeinvestor.com/security/bank-of-america-corp-5-375-non-cumulative-preferred-stock-series-kk/","BAC-M")</f>
        <v>BAC-M</v>
      </c>
      <c r="I110" s="47">
        <v>5.3749999999999999E-2</v>
      </c>
      <c r="J110" s="65">
        <f ca="1">IFERROR(__xludf.DUMMYFUNCTION("GoogleFinance(H110)"),21.97)</f>
        <v>21.97</v>
      </c>
      <c r="K110" s="67">
        <f ca="1">IFERROR(__xludf.DUMMYFUNCTION("googlefinance(H110,""change"")"),-0.13)</f>
        <v>-0.13</v>
      </c>
      <c r="L110" s="27">
        <f t="shared" ca="1" si="59"/>
        <v>6.1162949476558946E-2</v>
      </c>
      <c r="M110" s="27">
        <f t="shared" ca="1" si="63"/>
        <v>-0.18009228481914288</v>
      </c>
      <c r="N110" s="28" t="s">
        <v>39</v>
      </c>
      <c r="O110" s="28" t="s">
        <v>55</v>
      </c>
      <c r="P110" s="28" t="s">
        <v>64</v>
      </c>
      <c r="Q110" s="29">
        <f t="shared" si="62"/>
        <v>0.3359375</v>
      </c>
      <c r="R110" s="64">
        <v>45468</v>
      </c>
      <c r="S110" s="54" t="s">
        <v>41</v>
      </c>
      <c r="T110" s="62" t="s">
        <v>133</v>
      </c>
      <c r="U110" s="16">
        <f t="shared" ca="1" si="47"/>
        <v>-1.0410958904109588</v>
      </c>
      <c r="V110" s="11" t="str">
        <v>All</v>
      </c>
      <c r="X110">
        <f t="shared" ca="1" si="38"/>
        <v>0.18964839485586757</v>
      </c>
      <c r="Z110" s="17">
        <f t="shared" ca="1" si="39"/>
        <v>46213</v>
      </c>
      <c r="AG110" s="33">
        <f t="shared" ca="1" si="40"/>
        <v>0.12303401005668757</v>
      </c>
      <c r="AH110">
        <f t="shared" ca="1" si="41"/>
        <v>8.3675370623412737E-2</v>
      </c>
      <c r="AI110">
        <f t="shared" ca="1" si="42"/>
        <v>7.6269312735860212E-2</v>
      </c>
      <c r="AJ110">
        <f t="shared" ca="1" si="43"/>
        <v>7.0769016391044673E-2</v>
      </c>
      <c r="AK110">
        <f t="shared" ca="1" si="44"/>
        <v>6.4590131361863479E-2</v>
      </c>
    </row>
    <row r="111" spans="1:37" ht="17.25" customHeight="1">
      <c r="A111" s="19"/>
      <c r="B111" s="45" t="s">
        <v>131</v>
      </c>
      <c r="C111" s="28" t="s">
        <v>27</v>
      </c>
      <c r="D111" s="28" t="s">
        <v>35</v>
      </c>
      <c r="E111" s="28" t="s">
        <v>110</v>
      </c>
      <c r="F111" s="28" t="s">
        <v>29</v>
      </c>
      <c r="G111" s="28" t="s">
        <v>38</v>
      </c>
      <c r="H111" s="23" t="str">
        <f>HYPERLINK("https://innovativeincomeinvestor.com/security/bank-of-america-corpoartion-5-00-non-cumulative-preferred-stock-series-ll/","BAC-N")</f>
        <v>BAC-N</v>
      </c>
      <c r="I111" s="47">
        <v>0.05</v>
      </c>
      <c r="J111" s="65">
        <f ca="1">IFERROR(__xludf.DUMMYFUNCTION("GoogleFinance(H111)"),20.49)</f>
        <v>20.49</v>
      </c>
      <c r="K111" s="48">
        <f ca="1">IFERROR(__xludf.DUMMYFUNCTION("googlefinance(H111,""change"")"),-0.09)</f>
        <v>-0.09</v>
      </c>
      <c r="L111" s="27">
        <f t="shared" ca="1" si="59"/>
        <v>6.1005368472425575E-2</v>
      </c>
      <c r="M111" s="27">
        <f t="shared" ca="1" si="63"/>
        <v>-0.27192554946390268</v>
      </c>
      <c r="N111" s="28" t="s">
        <v>39</v>
      </c>
      <c r="O111" s="28" t="s">
        <v>55</v>
      </c>
      <c r="P111" s="28" t="s">
        <v>64</v>
      </c>
      <c r="Q111" s="29">
        <f t="shared" si="62"/>
        <v>0.3125</v>
      </c>
      <c r="R111" s="64">
        <v>45552</v>
      </c>
      <c r="S111" s="54" t="s">
        <v>41</v>
      </c>
      <c r="T111" s="62" t="s">
        <v>58</v>
      </c>
      <c r="U111" s="16">
        <f t="shared" ca="1" si="47"/>
        <v>-0.81095890410958904</v>
      </c>
      <c r="V111" s="11" t="str">
        <v>All</v>
      </c>
      <c r="X111">
        <f t="shared" ca="1" si="38"/>
        <v>0.260723665272315</v>
      </c>
      <c r="Z111" s="17">
        <f t="shared" ca="1" si="39"/>
        <v>46213</v>
      </c>
      <c r="AG111" s="33">
        <f t="shared" ca="1" si="40"/>
        <v>0.15682688464940692</v>
      </c>
      <c r="AH111">
        <f t="shared" ca="1" si="41"/>
        <v>9.5856335760220998E-2</v>
      </c>
      <c r="AI111">
        <f t="shared" ca="1" si="42"/>
        <v>8.4413990294022995E-2</v>
      </c>
      <c r="AJ111">
        <f t="shared" ca="1" si="43"/>
        <v>7.5918117897558646E-2</v>
      </c>
      <c r="AK111">
        <f t="shared" ca="1" si="44"/>
        <v>6.636232633882426E-2</v>
      </c>
    </row>
    <row r="112" spans="1:37" ht="17.25" customHeight="1">
      <c r="A112" s="19"/>
      <c r="B112" s="45" t="s">
        <v>131</v>
      </c>
      <c r="C112" s="28" t="s">
        <v>27</v>
      </c>
      <c r="D112" s="28" t="s">
        <v>35</v>
      </c>
      <c r="E112" s="28" t="s">
        <v>110</v>
      </c>
      <c r="F112" s="36" t="s">
        <v>29</v>
      </c>
      <c r="G112" s="120" t="s">
        <v>38</v>
      </c>
      <c r="H112" s="23" t="str">
        <f>HYPERLINK("https://innovativeincomeinvestor.com/security/bank-of-america-4-376-non-cumulative-preferred-shares-series-nn/","BAC-O")</f>
        <v>BAC-O</v>
      </c>
      <c r="I112" s="47">
        <v>4.385E-2</v>
      </c>
      <c r="J112" s="65">
        <f ca="1">IFERROR(__xludf.DUMMYFUNCTION("GoogleFinance(H112)"),18.06)</f>
        <v>18.059999999999999</v>
      </c>
      <c r="K112" s="65">
        <f ca="1">IFERROR(__xludf.DUMMYFUNCTION("googlefinance(H112,""change"")"),-0.03)</f>
        <v>-0.03</v>
      </c>
      <c r="L112" s="27">
        <f t="shared" ca="1" si="59"/>
        <v>5.9800664451827253E-2</v>
      </c>
      <c r="M112" s="27">
        <f t="shared" ca="1" si="63"/>
        <v>0.89248790129579103</v>
      </c>
      <c r="N112" s="28" t="s">
        <v>39</v>
      </c>
      <c r="O112" s="28" t="s">
        <v>55</v>
      </c>
      <c r="P112" s="28" t="s">
        <v>64</v>
      </c>
      <c r="Q112" s="29">
        <v>0.27</v>
      </c>
      <c r="R112" s="64">
        <v>45964</v>
      </c>
      <c r="S112" s="36" t="s">
        <v>41</v>
      </c>
      <c r="T112" s="62" t="s">
        <v>134</v>
      </c>
      <c r="U112" s="16">
        <f t="shared" ca="1" si="47"/>
        <v>0.31780821917808222</v>
      </c>
      <c r="V112" s="11" t="str">
        <v>All</v>
      </c>
      <c r="X112">
        <f t="shared" ca="1" si="38"/>
        <v>0.39278127298783105</v>
      </c>
      <c r="Z112" s="17">
        <f t="shared" ca="1" si="39"/>
        <v>46213</v>
      </c>
      <c r="AG112" s="33">
        <f t="shared" ca="1" si="40"/>
        <v>0.21895993813010389</v>
      </c>
      <c r="AH112">
        <f t="shared" ca="1" si="41"/>
        <v>0.11820739553372393</v>
      </c>
      <c r="AI112">
        <f t="shared" ca="1" si="42"/>
        <v>9.9391235007719153E-2</v>
      </c>
      <c r="AJ112">
        <f t="shared" ca="1" si="43"/>
        <v>8.542805210190639E-2</v>
      </c>
      <c r="AK112">
        <f t="shared" ca="1" si="44"/>
        <v>6.9691576680050382E-2</v>
      </c>
    </row>
    <row r="113" spans="1:37" ht="17.25" customHeight="1">
      <c r="A113" s="19"/>
      <c r="B113" s="45" t="s">
        <v>131</v>
      </c>
      <c r="C113" s="28" t="s">
        <v>27</v>
      </c>
      <c r="D113" s="28" t="s">
        <v>35</v>
      </c>
      <c r="E113" s="28" t="s">
        <v>110</v>
      </c>
      <c r="F113" s="36" t="s">
        <v>29</v>
      </c>
      <c r="G113" s="120" t="s">
        <v>38</v>
      </c>
      <c r="H113" s="55" t="str">
        <f>HYPERLINK("https://innovativeincomeinvestor.com/security/bank-of-america-4-12-non-cumulative-preferred-stock-series-pp/","BAC-P")</f>
        <v>BAC-P</v>
      </c>
      <c r="I113" s="47">
        <v>4.1250000000000002E-2</v>
      </c>
      <c r="J113" s="65">
        <f ca="1">IFERROR(__xludf.DUMMYFUNCTION("GoogleFinance(H113)"),17.15)</f>
        <v>17.149999999999999</v>
      </c>
      <c r="K113" s="65">
        <f ca="1">IFERROR(__xludf.DUMMYFUNCTION("googlefinance(H113,""change"")"),-0.05)</f>
        <v>-0.05</v>
      </c>
      <c r="L113" s="27">
        <f t="shared" ca="1" si="59"/>
        <v>6.0128279883381923E-2</v>
      </c>
      <c r="M113" s="27">
        <f t="shared" ca="1" si="63"/>
        <v>0.58777164535402071</v>
      </c>
      <c r="N113" s="28" t="s">
        <v>39</v>
      </c>
      <c r="O113" s="28" t="s">
        <v>55</v>
      </c>
      <c r="P113" s="28" t="s">
        <v>64</v>
      </c>
      <c r="Q113" s="29">
        <v>0.25779999999999997</v>
      </c>
      <c r="R113" s="64">
        <v>46055</v>
      </c>
      <c r="S113" s="36" t="s">
        <v>41</v>
      </c>
      <c r="T113" s="62" t="s">
        <v>135</v>
      </c>
      <c r="U113" s="16">
        <f t="shared" ca="1" si="47"/>
        <v>0.56712328767123288</v>
      </c>
      <c r="V113" s="11" t="str">
        <v>All</v>
      </c>
      <c r="X113">
        <f t="shared" ca="1" si="38"/>
        <v>0.44777279239673018</v>
      </c>
      <c r="Z113" s="17">
        <f t="shared" ca="1" si="39"/>
        <v>46213</v>
      </c>
      <c r="AG113" s="33">
        <f t="shared" ca="1" si="40"/>
        <v>0.2443907251005957</v>
      </c>
      <c r="AH113">
        <f t="shared" ca="1" si="41"/>
        <v>0.1270978607403189</v>
      </c>
      <c r="AI113">
        <f t="shared" ca="1" si="42"/>
        <v>0.1052354033244592</v>
      </c>
      <c r="AJ113">
        <f t="shared" ca="1" si="43"/>
        <v>8.9014057237647617E-2</v>
      </c>
      <c r="AK113">
        <f t="shared" ca="1" si="44"/>
        <v>7.071175073158055E-2</v>
      </c>
    </row>
    <row r="114" spans="1:37" ht="17.25" customHeight="1">
      <c r="A114" s="19" t="s">
        <v>0</v>
      </c>
      <c r="B114" s="45" t="s">
        <v>131</v>
      </c>
      <c r="C114" s="28" t="s">
        <v>27</v>
      </c>
      <c r="D114" s="28" t="s">
        <v>35</v>
      </c>
      <c r="E114" s="28" t="s">
        <v>110</v>
      </c>
      <c r="F114" s="36" t="s">
        <v>29</v>
      </c>
      <c r="G114" s="120" t="s">
        <v>38</v>
      </c>
      <c r="H114" s="83" t="str">
        <f>HYPERLINK("https://innovativeincomeinvestor.com/security/bank-of-america-corp-4-25-non-cumulative-preferred-shares-series-qq/","BAC-Q")</f>
        <v>BAC-Q</v>
      </c>
      <c r="I114" s="47">
        <v>4.2500000000000003E-2</v>
      </c>
      <c r="J114" s="65">
        <f ca="1">IFERROR(__xludf.DUMMYFUNCTION("GoogleFinance(H114)"),17.53)</f>
        <v>17.53</v>
      </c>
      <c r="K114" s="65">
        <f ca="1">IFERROR(__xludf.DUMMYFUNCTION("googlefinance(H114,""change"")"),-0.03)</f>
        <v>-0.03</v>
      </c>
      <c r="L114" s="27">
        <f t="shared" ca="1" si="59"/>
        <v>6.1608670849971479E-2</v>
      </c>
      <c r="M114" s="27">
        <f t="shared" ca="1" si="63"/>
        <v>0.30387875785257645</v>
      </c>
      <c r="N114" s="28" t="s">
        <v>39</v>
      </c>
      <c r="O114" s="28" t="s">
        <v>55</v>
      </c>
      <c r="P114" s="28" t="s">
        <v>64</v>
      </c>
      <c r="Q114" s="29">
        <v>0.27</v>
      </c>
      <c r="R114" s="64">
        <v>46343</v>
      </c>
      <c r="S114" s="36" t="s">
        <v>41</v>
      </c>
      <c r="T114" s="62" t="s">
        <v>136</v>
      </c>
      <c r="U114" s="16">
        <f t="shared" ca="1" si="47"/>
        <v>1.3561643835616439</v>
      </c>
      <c r="V114" s="11" t="str">
        <v>All</v>
      </c>
      <c r="X114">
        <f t="shared" ca="1" si="38"/>
        <v>0.42457782437017944</v>
      </c>
      <c r="Z114" s="17">
        <f t="shared" ca="1" si="39"/>
        <v>46213</v>
      </c>
      <c r="AG114" s="33">
        <f t="shared" ca="1" si="40"/>
        <v>0.2337890653619811</v>
      </c>
      <c r="AH114">
        <f t="shared" ca="1" si="41"/>
        <v>0.12352427961902926</v>
      </c>
      <c r="AI114">
        <f t="shared" ca="1" si="42"/>
        <v>0.10295559895390553</v>
      </c>
      <c r="AJ114">
        <f t="shared" ca="1" si="43"/>
        <v>8.7694097676844385E-2</v>
      </c>
      <c r="AK114">
        <f t="shared" ca="1" si="44"/>
        <v>7.0486884610921396E-2</v>
      </c>
    </row>
    <row r="115" spans="1:37" ht="17.25" customHeight="1">
      <c r="A115" s="19"/>
      <c r="B115" s="45" t="s">
        <v>131</v>
      </c>
      <c r="C115" s="28" t="s">
        <v>27</v>
      </c>
      <c r="D115" s="28" t="s">
        <v>35</v>
      </c>
      <c r="E115" s="28" t="s">
        <v>110</v>
      </c>
      <c r="F115" s="36" t="s">
        <v>29</v>
      </c>
      <c r="G115" s="120" t="s">
        <v>38</v>
      </c>
      <c r="H115" s="23" t="str">
        <f>HYPERLINK("https://innovativeincomeinvestor.com/security/bank-of-america-4-75-non-cumulative-preferred-stock-series-ss/","BAC-S")</f>
        <v>BAC-S</v>
      </c>
      <c r="I115" s="47">
        <v>4.7500000000000001E-2</v>
      </c>
      <c r="J115" s="65">
        <f ca="1">IFERROR(__xludf.DUMMYFUNCTION("GoogleFinance(H115)"),19.64)</f>
        <v>19.64</v>
      </c>
      <c r="K115" s="65">
        <f ca="1">IFERROR(__xludf.DUMMYFUNCTION("googlefinance(H115,""change"")"),-0.08)</f>
        <v>-0.08</v>
      </c>
      <c r="L115" s="27">
        <f t="shared" ca="1" si="59"/>
        <v>6.1099796334012219E-2</v>
      </c>
      <c r="M115" s="27">
        <f t="shared" ca="1" si="63"/>
        <v>0.23157702608113812</v>
      </c>
      <c r="N115" s="28" t="s">
        <v>39</v>
      </c>
      <c r="O115" s="28" t="s">
        <v>55</v>
      </c>
      <c r="P115" s="28" t="s">
        <v>64</v>
      </c>
      <c r="Q115" s="29">
        <v>0.3</v>
      </c>
      <c r="R115" s="64">
        <v>46435</v>
      </c>
      <c r="S115" s="36" t="s">
        <v>41</v>
      </c>
      <c r="T115" s="62" t="s">
        <v>136</v>
      </c>
      <c r="U115" s="16">
        <f t="shared" ca="1" si="47"/>
        <v>1.6082191780821917</v>
      </c>
      <c r="V115" s="11" t="str">
        <v>All</v>
      </c>
      <c r="X115">
        <f t="shared" ca="1" si="38"/>
        <v>0.30414678167879278</v>
      </c>
      <c r="Z115" s="17">
        <f t="shared" ca="1" si="39"/>
        <v>46213</v>
      </c>
      <c r="AG115" s="33">
        <f t="shared" ca="1" si="40"/>
        <v>0.1771410303220205</v>
      </c>
      <c r="AH115">
        <f t="shared" ca="1" si="41"/>
        <v>0.10291521940156395</v>
      </c>
      <c r="AI115">
        <f t="shared" ca="1" si="42"/>
        <v>8.900668622062835E-2</v>
      </c>
      <c r="AJ115">
        <f t="shared" ca="1" si="43"/>
        <v>7.8680156393336947E-2</v>
      </c>
      <c r="AK115">
        <f t="shared" ca="1" si="44"/>
        <v>6.7051731007395254E-2</v>
      </c>
    </row>
    <row r="116" spans="1:37" ht="17.25" customHeight="1">
      <c r="A116" s="19"/>
      <c r="B116" s="45" t="s">
        <v>131</v>
      </c>
      <c r="C116" s="28" t="s">
        <v>27</v>
      </c>
      <c r="D116" s="28" t="s">
        <v>35</v>
      </c>
      <c r="E116" s="28" t="s">
        <v>110</v>
      </c>
      <c r="F116" s="36" t="s">
        <v>29</v>
      </c>
      <c r="G116" s="120" t="s">
        <v>38</v>
      </c>
      <c r="H116" s="83" t="str">
        <f>HYPERLINK("https://innovativeincomeinvestor.com/security/bank-of-america-5-875-non-cumulative-preferred-stock-series-hh/","BAC-K")</f>
        <v>BAC-K</v>
      </c>
      <c r="I116" s="47">
        <v>5.8749999999999997E-2</v>
      </c>
      <c r="J116" s="65">
        <f ca="1">IFERROR(__xludf.DUMMYFUNCTION("GoogleFinance(H116)"),24.33)</f>
        <v>24.33</v>
      </c>
      <c r="K116" s="65">
        <f ca="1">IFERROR(__xludf.DUMMYFUNCTION("googlefinance(H116,""change"")"),-0.06)</f>
        <v>-0.06</v>
      </c>
      <c r="L116" s="27">
        <f t="shared" ca="1" si="59"/>
        <v>6.0337032470201397E-2</v>
      </c>
      <c r="M116" s="27">
        <f ca="1">(25-J116)/25</f>
        <v>2.6800000000000067E-2</v>
      </c>
      <c r="N116" s="28" t="s">
        <v>39</v>
      </c>
      <c r="O116" s="28" t="s">
        <v>55</v>
      </c>
      <c r="P116" s="28" t="s">
        <v>64</v>
      </c>
      <c r="Q116" s="29">
        <v>0.36699999999999999</v>
      </c>
      <c r="R116" s="64">
        <v>45131</v>
      </c>
      <c r="S116" s="36" t="s">
        <v>41</v>
      </c>
      <c r="T116" s="62" t="s">
        <v>137</v>
      </c>
      <c r="U116" s="16">
        <f t="shared" ca="1" si="47"/>
        <v>-1.9643835616438357</v>
      </c>
      <c r="V116" s="11" t="str">
        <v>All</v>
      </c>
      <c r="X116">
        <f t="shared" ca="1" si="38"/>
        <v>8.7023324703072974E-2</v>
      </c>
      <c r="Z116" s="17">
        <f t="shared" ca="1" si="39"/>
        <v>46213</v>
      </c>
      <c r="AG116" s="33">
        <f t="shared" ca="1" si="40"/>
        <v>7.3278054449799054E-2</v>
      </c>
      <c r="AH116">
        <f t="shared" ca="1" si="41"/>
        <v>6.5074985212316208E-2</v>
      </c>
      <c r="AI116">
        <f t="shared" ca="1" si="42"/>
        <v>6.3525087520503079E-2</v>
      </c>
      <c r="AJ116">
        <f t="shared" ca="1" si="43"/>
        <v>6.2373437247419859E-2</v>
      </c>
      <c r="AK116">
        <f t="shared" ca="1" si="44"/>
        <v>6.108047742392466E-2</v>
      </c>
    </row>
    <row r="117" spans="1:37" ht="17.25" customHeight="1">
      <c r="A117" s="19"/>
      <c r="B117" s="45" t="s">
        <v>131</v>
      </c>
      <c r="C117" s="28" t="s">
        <v>27</v>
      </c>
      <c r="D117" s="28" t="s">
        <v>35</v>
      </c>
      <c r="E117" s="28" t="s">
        <v>110</v>
      </c>
      <c r="F117" s="28" t="s">
        <v>138</v>
      </c>
      <c r="G117" s="28" t="s">
        <v>38</v>
      </c>
      <c r="H117" s="66" t="str">
        <f>HYPERLINK("https://innovativeincomeinvestor.com/security/bank-of-america-floating-rate-dep-shares-non-cumul-pfd-stock-series-4/","BML-J")</f>
        <v>BML-J</v>
      </c>
      <c r="I117" s="47">
        <v>0.04</v>
      </c>
      <c r="J117" s="65">
        <f ca="1">IFERROR(__xludf.DUMMYFUNCTION("GoogleFinance(H117)"),21.96)</f>
        <v>21.96</v>
      </c>
      <c r="K117" s="48">
        <f ca="1">IFERROR(__xludf.DUMMYFUNCTION("googlefinance(H117,""change"")"),0.01)</f>
        <v>0.01</v>
      </c>
      <c r="L117" s="52" t="s">
        <v>47</v>
      </c>
      <c r="M117" s="52" t="s">
        <v>47</v>
      </c>
      <c r="N117" s="28" t="s">
        <v>39</v>
      </c>
      <c r="O117" s="28" t="s">
        <v>55</v>
      </c>
      <c r="P117" s="28" t="s">
        <v>64</v>
      </c>
      <c r="Q117" s="52" t="s">
        <v>47</v>
      </c>
      <c r="R117" s="64">
        <v>40503</v>
      </c>
      <c r="S117" s="54" t="s">
        <v>41</v>
      </c>
      <c r="T117" s="62" t="s">
        <v>139</v>
      </c>
      <c r="U117" s="16">
        <f t="shared" ca="1" si="47"/>
        <v>-14.643835616438356</v>
      </c>
      <c r="V117" s="11" t="str">
        <v>All</v>
      </c>
      <c r="X117">
        <f t="shared" ca="1" si="38"/>
        <v>0.17520048744563005</v>
      </c>
      <c r="Z117" s="17">
        <f t="shared" ca="1" si="39"/>
        <v>46213</v>
      </c>
      <c r="AG117" s="33">
        <f t="shared" ca="1" si="40"/>
        <v>0.10844926263961346</v>
      </c>
      <c r="AH117">
        <f t="shared" ca="1" si="41"/>
        <v>6.8974544037944771E-2</v>
      </c>
      <c r="AI117">
        <f t="shared" ca="1" si="42"/>
        <v>6.1524419574728609E-2</v>
      </c>
      <c r="AJ117">
        <f t="shared" ca="1" si="43"/>
        <v>5.5967753953317927E-2</v>
      </c>
      <c r="AK117">
        <f t="shared" ca="1" si="44"/>
        <v>4.9626814358743103E-2</v>
      </c>
    </row>
    <row r="118" spans="1:37" ht="17.25" customHeight="1">
      <c r="A118" s="19"/>
      <c r="B118" s="45" t="s">
        <v>131</v>
      </c>
      <c r="C118" s="28" t="s">
        <v>27</v>
      </c>
      <c r="D118" s="28" t="s">
        <v>35</v>
      </c>
      <c r="E118" s="28" t="s">
        <v>110</v>
      </c>
      <c r="F118" s="28" t="s">
        <v>138</v>
      </c>
      <c r="G118" s="28" t="s">
        <v>38</v>
      </c>
      <c r="H118" s="66" t="str">
        <f>HYPERLINK("https://innovativeincomeinvestor.com/security/bank-of-america-floating-rate-dep-shares-non-cumul-preferred-stock-series-e/","BAC-E")</f>
        <v>BAC-E</v>
      </c>
      <c r="I118" s="47">
        <v>0.04</v>
      </c>
      <c r="J118" s="65">
        <f ca="1">IFERROR(__xludf.DUMMYFUNCTION("GoogleFinance(H118)"),21.53)</f>
        <v>21.53</v>
      </c>
      <c r="K118" s="48">
        <f ca="1">IFERROR(__xludf.DUMMYFUNCTION("googlefinance(H118,""change"")"),-0.14)</f>
        <v>-0.14000000000000001</v>
      </c>
      <c r="L118" s="52" t="s">
        <v>47</v>
      </c>
      <c r="M118" s="52" t="s">
        <v>47</v>
      </c>
      <c r="N118" s="28" t="s">
        <v>39</v>
      </c>
      <c r="O118" s="28" t="s">
        <v>55</v>
      </c>
      <c r="P118" s="28" t="s">
        <v>64</v>
      </c>
      <c r="Q118" s="52" t="s">
        <v>47</v>
      </c>
      <c r="R118" s="64">
        <v>40862</v>
      </c>
      <c r="S118" s="54" t="s">
        <v>41</v>
      </c>
      <c r="T118" s="62" t="s">
        <v>140</v>
      </c>
      <c r="U118" s="16">
        <f t="shared" ca="1" si="47"/>
        <v>-13.66027397260274</v>
      </c>
      <c r="V118" s="11" t="str">
        <v>All</v>
      </c>
      <c r="X118">
        <f t="shared" ca="1" si="38"/>
        <v>0.19623035266976094</v>
      </c>
      <c r="Z118" s="17">
        <f t="shared" ca="1" si="39"/>
        <v>46213</v>
      </c>
      <c r="AG118" s="33">
        <f t="shared" ca="1" si="40"/>
        <v>0.11900916215773756</v>
      </c>
      <c r="AH118">
        <f t="shared" ca="1" si="41"/>
        <v>7.3433875718599148E-2</v>
      </c>
      <c r="AI118">
        <f t="shared" ca="1" si="42"/>
        <v>6.4840636446421379E-2</v>
      </c>
      <c r="AJ118">
        <f t="shared" ca="1" si="43"/>
        <v>5.8433688783447214E-2</v>
      </c>
      <c r="AK118">
        <f t="shared" ca="1" si="44"/>
        <v>5.1127483278166963E-2</v>
      </c>
    </row>
    <row r="119" spans="1:37" ht="17.25" customHeight="1">
      <c r="A119" s="19"/>
      <c r="B119" s="45" t="s">
        <v>131</v>
      </c>
      <c r="C119" s="28" t="s">
        <v>27</v>
      </c>
      <c r="D119" s="28" t="s">
        <v>35</v>
      </c>
      <c r="E119" s="28" t="s">
        <v>110</v>
      </c>
      <c r="F119" s="28" t="s">
        <v>138</v>
      </c>
      <c r="G119" s="28" t="s">
        <v>38</v>
      </c>
      <c r="H119" s="66" t="str">
        <f>HYPERLINK("https://innovativeincomeinvestor.com/security/bank-of-america-floating-rate-dep-shares-non-cumul-pfd-stock-series-5/","BML-L")</f>
        <v>BML-L</v>
      </c>
      <c r="I119" s="47">
        <v>0.04</v>
      </c>
      <c r="J119" s="65">
        <f ca="1">IFERROR(__xludf.DUMMYFUNCTION("GoogleFinance(H119)"),20.48)</f>
        <v>20.48</v>
      </c>
      <c r="K119" s="48">
        <f ca="1">IFERROR(__xludf.DUMMYFUNCTION("googlefinance(H119,""change"")"),-0.09)</f>
        <v>-0.09</v>
      </c>
      <c r="L119" s="52" t="s">
        <v>47</v>
      </c>
      <c r="M119" s="52" t="s">
        <v>47</v>
      </c>
      <c r="N119" s="28" t="s">
        <v>39</v>
      </c>
      <c r="O119" s="28" t="s">
        <v>55</v>
      </c>
      <c r="P119" s="28" t="s">
        <v>64</v>
      </c>
      <c r="Q119" s="52" t="s">
        <v>47</v>
      </c>
      <c r="R119" s="64">
        <v>40319</v>
      </c>
      <c r="S119" s="54" t="s">
        <v>41</v>
      </c>
      <c r="T119" s="62" t="s">
        <v>141</v>
      </c>
      <c r="U119" s="16">
        <f t="shared" ca="1" si="47"/>
        <v>-15.147945205479452</v>
      </c>
      <c r="V119" s="11" t="str">
        <v>All</v>
      </c>
      <c r="X119">
        <f t="shared" ca="1" si="38"/>
        <v>0.24989256924156972</v>
      </c>
      <c r="Z119" s="17">
        <f t="shared" ca="1" si="39"/>
        <v>46213</v>
      </c>
      <c r="AG119" s="33">
        <f t="shared" ca="1" si="40"/>
        <v>0.14585206916760343</v>
      </c>
      <c r="AH119">
        <f t="shared" ca="1" si="41"/>
        <v>8.475754631985298E-2</v>
      </c>
      <c r="AI119">
        <f t="shared" ca="1" si="42"/>
        <v>7.3266180037932838E-2</v>
      </c>
      <c r="AJ119">
        <f t="shared" ca="1" si="43"/>
        <v>6.4706380090453749E-2</v>
      </c>
      <c r="AK119">
        <f t="shared" ca="1" si="44"/>
        <v>5.496266140364104E-2</v>
      </c>
    </row>
    <row r="120" spans="1:37" ht="17.25" customHeight="1">
      <c r="A120" s="19"/>
      <c r="B120" s="45" t="s">
        <v>131</v>
      </c>
      <c r="C120" s="28" t="s">
        <v>27</v>
      </c>
      <c r="D120" s="28" t="s">
        <v>35</v>
      </c>
      <c r="E120" s="28" t="s">
        <v>110</v>
      </c>
      <c r="F120" s="28" t="s">
        <v>138</v>
      </c>
      <c r="G120" s="28" t="s">
        <v>38</v>
      </c>
      <c r="H120" s="66" t="str">
        <f>HYPERLINK("https://innovativeincomeinvestor.com/security/bank-of-america-floating-rate-dep-shares-non-cumul-pfd-stock-series-i/","BML-G")</f>
        <v>BML-G</v>
      </c>
      <c r="I120" s="47">
        <v>0.03</v>
      </c>
      <c r="J120" s="65">
        <f ca="1">IFERROR(__xludf.DUMMYFUNCTION("GoogleFinance(H120)"),20.87)</f>
        <v>20.87</v>
      </c>
      <c r="K120" s="67">
        <f ca="1">IFERROR(__xludf.DUMMYFUNCTION("googlefinance(H120,""change"")"),-0.07)</f>
        <v>-7.0000000000000007E-2</v>
      </c>
      <c r="L120" s="52" t="s">
        <v>47</v>
      </c>
      <c r="M120" s="27">
        <f t="shared" ref="M120:M124" ca="1" si="64">(25-J120)/25</f>
        <v>0.16519999999999996</v>
      </c>
      <c r="N120" s="28" t="s">
        <v>39</v>
      </c>
      <c r="O120" s="28" t="s">
        <v>55</v>
      </c>
      <c r="P120" s="28" t="s">
        <v>64</v>
      </c>
      <c r="Q120" s="52" t="s">
        <v>47</v>
      </c>
      <c r="R120" s="64">
        <v>40145</v>
      </c>
      <c r="S120" s="54" t="s">
        <v>41</v>
      </c>
      <c r="T120" s="62" t="s">
        <v>142</v>
      </c>
      <c r="U120" s="16">
        <f t="shared" ca="1" si="47"/>
        <v>-15.624657534246575</v>
      </c>
      <c r="V120" s="11" t="str">
        <v>All</v>
      </c>
      <c r="X120">
        <f t="shared" ca="1" si="38"/>
        <v>0.21834245937903535</v>
      </c>
      <c r="Z120" s="17">
        <f t="shared" ca="1" si="39"/>
        <v>46213</v>
      </c>
      <c r="AG120" s="33">
        <f t="shared" ca="1" si="40"/>
        <v>0.12459155227050005</v>
      </c>
      <c r="AH120">
        <f t="shared" ca="1" si="41"/>
        <v>6.9404924476208246E-2</v>
      </c>
      <c r="AI120">
        <f t="shared" ca="1" si="42"/>
        <v>5.899724394039009E-2</v>
      </c>
      <c r="AJ120">
        <f t="shared" ca="1" si="43"/>
        <v>5.1222843119273859E-2</v>
      </c>
      <c r="AK120">
        <f t="shared" ca="1" si="44"/>
        <v>4.2285726369093862E-2</v>
      </c>
    </row>
    <row r="121" spans="1:37" ht="17.25" customHeight="1">
      <c r="A121" s="19"/>
      <c r="B121" s="45" t="s">
        <v>131</v>
      </c>
      <c r="C121" s="28" t="s">
        <v>27</v>
      </c>
      <c r="D121" s="28" t="s">
        <v>35</v>
      </c>
      <c r="E121" s="28" t="s">
        <v>110</v>
      </c>
      <c r="F121" s="28" t="s">
        <v>138</v>
      </c>
      <c r="G121" s="28" t="s">
        <v>38</v>
      </c>
      <c r="H121" s="66" t="str">
        <f>HYPERLINK("https://innovativeincomeinvestor.com/security/bank-of-america-floating-rate-dep-shares-non-cumul-pfd-stock-series-2/","BML-H")</f>
        <v>BML-H</v>
      </c>
      <c r="I121" s="47">
        <v>0.03</v>
      </c>
      <c r="J121" s="65">
        <f ca="1">IFERROR(__xludf.DUMMYFUNCTION("GoogleFinance(H121)"),20.19)</f>
        <v>20.190000000000001</v>
      </c>
      <c r="K121" s="65">
        <f ca="1">IFERROR(__xludf.DUMMYFUNCTION("googlefinance(H121,""change"")"),-0.1)</f>
        <v>-0.1</v>
      </c>
      <c r="L121" s="52" t="s">
        <v>47</v>
      </c>
      <c r="M121" s="27">
        <f t="shared" ca="1" si="64"/>
        <v>0.19239999999999996</v>
      </c>
      <c r="N121" s="28" t="s">
        <v>39</v>
      </c>
      <c r="O121" s="28" t="s">
        <v>55</v>
      </c>
      <c r="P121" s="28" t="s">
        <v>64</v>
      </c>
      <c r="Q121" s="52" t="s">
        <v>47</v>
      </c>
      <c r="R121" s="64">
        <v>40145</v>
      </c>
      <c r="S121" s="54" t="s">
        <v>41</v>
      </c>
      <c r="T121" s="62" t="s">
        <v>142</v>
      </c>
      <c r="U121" s="16">
        <f t="shared" ca="1" si="47"/>
        <v>-15.624657534246575</v>
      </c>
      <c r="V121" s="11" t="str">
        <v>All</v>
      </c>
      <c r="X121">
        <f t="shared" ca="1" si="38"/>
        <v>0.25386555783748538</v>
      </c>
      <c r="Z121" s="17">
        <f t="shared" ca="1" si="39"/>
        <v>46213</v>
      </c>
      <c r="AG121" s="33">
        <f t="shared" ca="1" si="40"/>
        <v>0.14221808190943866</v>
      </c>
      <c r="AH121">
        <f t="shared" ca="1" si="41"/>
        <v>7.6715190730023738E-2</v>
      </c>
      <c r="AI121">
        <f t="shared" ca="1" si="42"/>
        <v>6.4381166913000096E-2</v>
      </c>
      <c r="AJ121">
        <f t="shared" ca="1" si="43"/>
        <v>5.5172670266806279E-2</v>
      </c>
      <c r="AK121">
        <f t="shared" ca="1" si="44"/>
        <v>4.459582520623246E-2</v>
      </c>
    </row>
    <row r="122" spans="1:37" ht="17.25" customHeight="1">
      <c r="A122" s="19"/>
      <c r="B122" s="45" t="s">
        <v>143</v>
      </c>
      <c r="C122" s="28" t="s">
        <v>35</v>
      </c>
      <c r="D122" s="28" t="s">
        <v>27</v>
      </c>
      <c r="E122" s="28" t="s">
        <v>110</v>
      </c>
      <c r="F122" s="36" t="s">
        <v>29</v>
      </c>
      <c r="G122" s="121" t="s">
        <v>71</v>
      </c>
      <c r="H122" s="63" t="str">
        <f>HYPERLINK("https://innovativeincomeinvestor.com/security/merrill-lynch-capital-trust-i-6-45-trust-preferred-securities/","MER-K")</f>
        <v>MER-K</v>
      </c>
      <c r="I122" s="47">
        <v>6.4500000000000002E-2</v>
      </c>
      <c r="J122" s="56">
        <f ca="1">IFERROR(__xludf.DUMMYFUNCTION("importxml(""https://bigcharts.marketwatch.com/quickchart/quickchart.asp?symb=MER.PRK&amp;insttype=Stock"",""html/body/div[1]/div[2]/table/tbody/tr/td[1]/table/tbody/tr[3]/td[1]/div"")"),25.22)</f>
        <v>25.22</v>
      </c>
      <c r="K122" s="67">
        <f ca="1">IFERROR(__xludf.DUMMYFUNCTION("googlefinance(H122,""change"")"),-0.03)</f>
        <v>-0.03</v>
      </c>
      <c r="L122" s="27">
        <f t="shared" ref="L122:L148" ca="1" si="65">(Q122*4)/J122</f>
        <v>6.3937351308485338E-2</v>
      </c>
      <c r="M122" s="27">
        <f t="shared" ca="1" si="64"/>
        <v>-8.7999999999999537E-3</v>
      </c>
      <c r="N122" s="28" t="s">
        <v>31</v>
      </c>
      <c r="O122" s="28" t="s">
        <v>69</v>
      </c>
      <c r="P122" s="28" t="s">
        <v>83</v>
      </c>
      <c r="Q122" s="29">
        <f t="shared" ref="Q122:Q123" si="66">(I122*25)/4</f>
        <v>0.40312500000000001</v>
      </c>
      <c r="R122" s="64">
        <v>40892</v>
      </c>
      <c r="S122" s="61">
        <v>60981</v>
      </c>
      <c r="T122" s="62" t="s">
        <v>52</v>
      </c>
      <c r="U122" s="16">
        <f t="shared" ca="1" si="47"/>
        <v>-13.578082191780823</v>
      </c>
      <c r="V122" s="11" t="str">
        <v>All</v>
      </c>
      <c r="X122">
        <f t="shared" ca="1" si="38"/>
        <v>5.5393242220568205E-2</v>
      </c>
      <c r="Z122" s="17">
        <f t="shared" ca="1" si="39"/>
        <v>46213</v>
      </c>
      <c r="AG122" s="33">
        <f t="shared" ca="1" si="40"/>
        <v>5.9798872301309987E-2</v>
      </c>
      <c r="AH122">
        <f t="shared" ca="1" si="41"/>
        <v>6.2436120931635475E-2</v>
      </c>
      <c r="AI122">
        <f t="shared" ca="1" si="42"/>
        <v>6.2934496107007631E-2</v>
      </c>
      <c r="AJ122">
        <f t="shared" ca="1" si="43"/>
        <v>6.3304696153231602E-2</v>
      </c>
      <c r="AK122">
        <f t="shared" ca="1" si="44"/>
        <v>6.3717723711787924E-2</v>
      </c>
    </row>
    <row r="123" spans="1:37" ht="17.25" customHeight="1">
      <c r="A123" s="19"/>
      <c r="B123" s="45" t="s">
        <v>144</v>
      </c>
      <c r="C123" s="28" t="s">
        <v>27</v>
      </c>
      <c r="D123" s="28" t="s">
        <v>35</v>
      </c>
      <c r="E123" s="28" t="s">
        <v>110</v>
      </c>
      <c r="F123" s="36" t="s">
        <v>29</v>
      </c>
      <c r="G123" s="122" t="s">
        <v>38</v>
      </c>
      <c r="H123" s="55" t="str">
        <f>HYPERLINK("https://innovativeincomeinvestor.com/security/bank-of-hawaii-corporation-4-375-non-cumulative-perpetual-preferred-stock-series-a/","BOH-A")</f>
        <v>BOH-A</v>
      </c>
      <c r="I123" s="47">
        <v>4.3749999999999997E-2</v>
      </c>
      <c r="J123" s="25">
        <f ca="1">IFERROR(__xludf.DUMMYFUNCTION("GoogleFinance(H123)"),16.5)</f>
        <v>16.5</v>
      </c>
      <c r="K123" s="67">
        <f ca="1">IFERROR(__xludf.DUMMYFUNCTION("googlefinance(H123,""change"")"),0.14)</f>
        <v>0.14000000000000001</v>
      </c>
      <c r="L123" s="27">
        <f t="shared" ca="1" si="65"/>
        <v>6.6287878787878785E-2</v>
      </c>
      <c r="M123" s="27">
        <f t="shared" ca="1" si="64"/>
        <v>0.34</v>
      </c>
      <c r="N123" s="28" t="s">
        <v>39</v>
      </c>
      <c r="O123" s="28" t="s">
        <v>32</v>
      </c>
      <c r="P123" s="28" t="s">
        <v>64</v>
      </c>
      <c r="Q123" s="29">
        <f t="shared" si="66"/>
        <v>0.2734375</v>
      </c>
      <c r="R123" s="64">
        <v>46235</v>
      </c>
      <c r="S123" s="36" t="s">
        <v>41</v>
      </c>
      <c r="T123" s="62" t="s">
        <v>101</v>
      </c>
      <c r="U123" s="16">
        <f t="shared" ca="1" si="47"/>
        <v>1.0602739726027397</v>
      </c>
      <c r="V123" s="11" t="str">
        <v>All</v>
      </c>
      <c r="X123">
        <f t="shared" ca="1" si="38"/>
        <v>0.49506566157389387</v>
      </c>
      <c r="Z123" s="17">
        <f t="shared" ca="1" si="39"/>
        <v>46213</v>
      </c>
      <c r="AG123" s="33">
        <f t="shared" ca="1" si="40"/>
        <v>0.26910878110943587</v>
      </c>
      <c r="AH123">
        <f t="shared" ca="1" si="41"/>
        <v>0.13933319325690732</v>
      </c>
      <c r="AI123">
        <f t="shared" ca="1" si="42"/>
        <v>0.11520762380774165</v>
      </c>
      <c r="AJ123">
        <f t="shared" ca="1" si="43"/>
        <v>9.7339430417661729E-2</v>
      </c>
      <c r="AK123">
        <f t="shared" ca="1" si="44"/>
        <v>7.7291435195998501E-2</v>
      </c>
    </row>
    <row r="124" spans="1:37" ht="17.25" customHeight="1">
      <c r="A124" s="19"/>
      <c r="B124" s="45" t="s">
        <v>144</v>
      </c>
      <c r="C124" s="28" t="s">
        <v>27</v>
      </c>
      <c r="D124" s="28" t="s">
        <v>35</v>
      </c>
      <c r="E124" s="28" t="s">
        <v>110</v>
      </c>
      <c r="F124" s="36" t="s">
        <v>29</v>
      </c>
      <c r="G124" s="122" t="s">
        <v>38</v>
      </c>
      <c r="H124" s="23" t="str">
        <f>HYPERLINK("https://innovativeincomeinvestor.com/security/bank-of-hhawaii-corp-8-00-non-cumulative-perpetual-preferred-stock-series-b/","BOH-B")</f>
        <v>BOH-B</v>
      </c>
      <c r="I124" s="47">
        <v>0.08</v>
      </c>
      <c r="J124" s="25">
        <f ca="1">IFERROR(__xludf.DUMMYFUNCTION("GoogleFinance(H124)"),26.44)</f>
        <v>26.44</v>
      </c>
      <c r="K124" s="67">
        <f ca="1">IFERROR(__xludf.DUMMYFUNCTION("googlefinance(H124,""change"")"),0.16)</f>
        <v>0.16</v>
      </c>
      <c r="L124" s="27">
        <f t="shared" ca="1" si="65"/>
        <v>7.5642965204235996E-2</v>
      </c>
      <c r="M124" s="27">
        <f t="shared" ca="1" si="64"/>
        <v>-5.7600000000000054E-2</v>
      </c>
      <c r="N124" s="28" t="s">
        <v>39</v>
      </c>
      <c r="O124" s="28" t="s">
        <v>32</v>
      </c>
      <c r="P124" s="28" t="s">
        <v>64</v>
      </c>
      <c r="Q124" s="29">
        <v>0.5</v>
      </c>
      <c r="R124" s="64">
        <v>47331</v>
      </c>
      <c r="S124" s="36" t="s">
        <v>41</v>
      </c>
      <c r="T124" s="62" t="s">
        <v>101</v>
      </c>
      <c r="U124" s="16">
        <f t="shared" ca="1" si="47"/>
        <v>4.0630136986301366</v>
      </c>
      <c r="V124" s="11" t="str">
        <v>All</v>
      </c>
      <c r="X124">
        <f t="shared" ca="1" si="38"/>
        <v>2.1619596862604801E-2</v>
      </c>
      <c r="Z124" s="17">
        <f t="shared" ca="1" si="39"/>
        <v>46213</v>
      </c>
      <c r="AG124" s="33">
        <f t="shared" ca="1" si="40"/>
        <v>4.957083041969753E-2</v>
      </c>
      <c r="AH124">
        <f t="shared" ca="1" si="41"/>
        <v>6.6362011236848498E-2</v>
      </c>
      <c r="AI124">
        <f t="shared" ca="1" si="42"/>
        <v>6.9530086187871751E-2</v>
      </c>
      <c r="AJ124">
        <f t="shared" ca="1" si="43"/>
        <v>7.1871186490612513E-2</v>
      </c>
      <c r="AK124">
        <f t="shared" ca="1" si="44"/>
        <v>7.4437974628715681E-2</v>
      </c>
    </row>
    <row r="125" spans="1:37" ht="17.25" customHeight="1">
      <c r="A125" s="19"/>
      <c r="B125" s="45" t="s">
        <v>145</v>
      </c>
      <c r="C125" s="28" t="s">
        <v>27</v>
      </c>
      <c r="D125" s="28" t="s">
        <v>35</v>
      </c>
      <c r="E125" s="28" t="s">
        <v>110</v>
      </c>
      <c r="F125" s="36" t="s">
        <v>29</v>
      </c>
      <c r="G125" s="122" t="s">
        <v>38</v>
      </c>
      <c r="H125" s="23" t="str">
        <f>HYPERLINK("https://innovativeincomeinvestor.com/security/bank-ozk-4-625-series-a-non-cumulative-perpetual-preferred-stock/","OZKAP")</f>
        <v>OZKAP</v>
      </c>
      <c r="I125" s="47">
        <v>4.6249999999999999E-2</v>
      </c>
      <c r="J125" s="114">
        <f ca="1">IFERROR(__xludf.DUMMYFUNCTION("GoogleFinance(H125)"),16.77)</f>
        <v>16.77</v>
      </c>
      <c r="K125" s="57">
        <f ca="1">IFERROR(__xludf.DUMMYFUNCTION("googlefinance(H125,""change"")"),-0.14)</f>
        <v>-0.14000000000000001</v>
      </c>
      <c r="L125" s="58">
        <f t="shared" ca="1" si="65"/>
        <v>6.917113893858079E-2</v>
      </c>
      <c r="M125" s="27">
        <f t="array" aca="1" ref="M125" ca="1">L125*U125+(25-J125)/25/U125</f>
        <v>0.33715660978567408</v>
      </c>
      <c r="N125" s="28" t="s">
        <v>31</v>
      </c>
      <c r="O125" s="28" t="s">
        <v>32</v>
      </c>
      <c r="P125" s="28" t="s">
        <v>146</v>
      </c>
      <c r="Q125" s="29">
        <v>0.28999999999999998</v>
      </c>
      <c r="R125" s="64">
        <v>46341</v>
      </c>
      <c r="S125" s="36" t="s">
        <v>41</v>
      </c>
      <c r="T125" s="62" t="s">
        <v>33</v>
      </c>
      <c r="U125" s="16">
        <f t="shared" ca="1" si="47"/>
        <v>1.3506849315068492</v>
      </c>
      <c r="V125" s="11" t="str">
        <v>All</v>
      </c>
      <c r="X125">
        <f t="shared" ca="1" si="38"/>
        <v>0.47972258110901728</v>
      </c>
      <c r="Z125" s="17">
        <f t="shared" ca="1" si="39"/>
        <v>46213</v>
      </c>
      <c r="AG125" s="33">
        <f t="shared" ca="1" si="40"/>
        <v>0.26319457809994617</v>
      </c>
      <c r="AH125">
        <f t="shared" ca="1" si="41"/>
        <v>0.13865501639400682</v>
      </c>
      <c r="AI125">
        <f t="shared" ca="1" si="42"/>
        <v>0.11549995789079535</v>
      </c>
      <c r="AJ125">
        <f t="shared" ca="1" si="43"/>
        <v>9.8361856590938518E-2</v>
      </c>
      <c r="AK125">
        <f t="shared" ca="1" si="44"/>
        <v>7.9191418817012402E-2</v>
      </c>
    </row>
    <row r="126" spans="1:37" ht="17.25" customHeight="1">
      <c r="A126" s="19"/>
      <c r="B126" s="45" t="s">
        <v>147</v>
      </c>
      <c r="C126" s="28" t="s">
        <v>35</v>
      </c>
      <c r="D126" s="28" t="s">
        <v>27</v>
      </c>
      <c r="E126" s="28" t="s">
        <v>110</v>
      </c>
      <c r="F126" s="36" t="s">
        <v>29</v>
      </c>
      <c r="G126" s="123" t="s">
        <v>71</v>
      </c>
      <c r="H126" s="63" t="str">
        <f>HYPERLINK("https://innovativeincomeinvestor.com/security/bfc-capital-trust-ii-7-20-cumul-trust-preferred-securities/","BANFP")</f>
        <v>BANFP</v>
      </c>
      <c r="I126" s="47">
        <v>7.1999999999999995E-2</v>
      </c>
      <c r="J126" s="65">
        <f ca="1">IFERROR(__xludf.DUMMYFUNCTION("GoogleFinance(H126)"),25.91)</f>
        <v>25.91</v>
      </c>
      <c r="K126" s="67">
        <f ca="1">IFERROR(__xludf.DUMMYFUNCTION("googlefinance(H126,""change"")"),0.01)</f>
        <v>0.01</v>
      </c>
      <c r="L126" s="27">
        <f t="shared" ca="1" si="65"/>
        <v>6.9471246622925503E-2</v>
      </c>
      <c r="M126" s="27">
        <f ca="1">(25-J126)/25</f>
        <v>-3.6400000000000009E-2</v>
      </c>
      <c r="N126" s="28" t="s">
        <v>31</v>
      </c>
      <c r="O126" s="28" t="s">
        <v>32</v>
      </c>
      <c r="P126" s="28" t="s">
        <v>32</v>
      </c>
      <c r="Q126" s="29">
        <f>(I126*25)/4</f>
        <v>0.44999999999999996</v>
      </c>
      <c r="R126" s="64">
        <v>39893</v>
      </c>
      <c r="S126" s="61">
        <v>49034</v>
      </c>
      <c r="T126" s="62" t="s">
        <v>60</v>
      </c>
      <c r="U126" s="16">
        <f t="shared" ca="1" si="47"/>
        <v>-16.315068493150687</v>
      </c>
      <c r="V126" s="11" t="str">
        <v>All</v>
      </c>
      <c r="X126">
        <f t="shared" ca="1" si="38"/>
        <v>3.480476180504978E-2</v>
      </c>
      <c r="Z126" s="17">
        <f t="shared" ca="1" si="39"/>
        <v>46213</v>
      </c>
      <c r="AG126" s="33">
        <f t="shared" ca="1" si="40"/>
        <v>5.2704400396275795E-2</v>
      </c>
      <c r="AH126">
        <f t="shared" ca="1" si="41"/>
        <v>6.3442880841711222E-2</v>
      </c>
      <c r="AI126">
        <f t="shared" ca="1" si="42"/>
        <v>6.5471348876581265E-2</v>
      </c>
      <c r="AJ126">
        <f t="shared" ca="1" si="43"/>
        <v>6.6974310969679887E-2</v>
      </c>
      <c r="AK126">
        <f t="shared" ca="1" si="44"/>
        <v>6.8638366731830505E-2</v>
      </c>
    </row>
    <row r="127" spans="1:37" ht="17.25" customHeight="1">
      <c r="A127" s="19"/>
      <c r="B127" s="45" t="s">
        <v>148</v>
      </c>
      <c r="C127" s="28" t="s">
        <v>27</v>
      </c>
      <c r="D127" s="28" t="s">
        <v>27</v>
      </c>
      <c r="E127" s="28" t="s">
        <v>67</v>
      </c>
      <c r="F127" s="36" t="s">
        <v>29</v>
      </c>
      <c r="G127" s="28" t="s">
        <v>30</v>
      </c>
      <c r="H127" s="23" t="str">
        <f>HYPERLINK("https://innovativeincomeinvestor.com/security/bip-bermuda-holdings-i-limited-5-125-perpetual-subordinated-notes/","BIPI")</f>
        <v>BIPI</v>
      </c>
      <c r="I127" s="47">
        <v>5.1249999999999997E-2</v>
      </c>
      <c r="J127" s="65">
        <f ca="1">IFERROR(__xludf.DUMMYFUNCTION("GoogleFinance(H127)"),16.5)</f>
        <v>16.5</v>
      </c>
      <c r="K127" s="67">
        <f ca="1">IFERROR(__xludf.DUMMYFUNCTION("googlefinance(H127,""change"")"),-0.07)</f>
        <v>-7.0000000000000007E-2</v>
      </c>
      <c r="L127" s="27">
        <f t="shared" ca="1" si="65"/>
        <v>7.7575757575757576E-2</v>
      </c>
      <c r="M127" s="27">
        <f t="array" aca="1" ref="M127" ca="1">L127*U127+(25-J127)/25/U127</f>
        <v>0.34062748324734626</v>
      </c>
      <c r="N127" s="28" t="s">
        <v>31</v>
      </c>
      <c r="O127" s="28" t="s">
        <v>32</v>
      </c>
      <c r="P127" s="28" t="s">
        <v>32</v>
      </c>
      <c r="Q127" s="29">
        <v>0.32</v>
      </c>
      <c r="R127" s="64">
        <v>46408</v>
      </c>
      <c r="S127" s="28" t="s">
        <v>41</v>
      </c>
      <c r="T127" s="62" t="s">
        <v>42</v>
      </c>
      <c r="U127" s="16">
        <f t="shared" ca="1" si="47"/>
        <v>1.5342465753424657</v>
      </c>
      <c r="V127" s="11" t="str">
        <v>All</v>
      </c>
      <c r="X127">
        <f t="shared" ca="1" si="38"/>
        <v>0.50489054362543884</v>
      </c>
      <c r="Z127" s="17">
        <f t="shared" ca="1" si="39"/>
        <v>46213</v>
      </c>
      <c r="AG127" s="33">
        <f t="shared" ca="1" si="40"/>
        <v>0.27872487472199337</v>
      </c>
      <c r="AH127">
        <f t="shared" ca="1" si="41"/>
        <v>0.14891764950814179</v>
      </c>
      <c r="AI127">
        <f t="shared" ca="1" si="42"/>
        <v>0.12484140568073901</v>
      </c>
      <c r="AJ127">
        <f t="shared" ca="1" si="43"/>
        <v>0.10706885974434936</v>
      </c>
      <c r="AK127">
        <f t="shared" ca="1" si="44"/>
        <v>8.7378917182829807E-2</v>
      </c>
    </row>
    <row r="128" spans="1:37" ht="17.25" customHeight="1">
      <c r="A128" s="19"/>
      <c r="B128" s="45" t="s">
        <v>149</v>
      </c>
      <c r="C128" s="28" t="s">
        <v>35</v>
      </c>
      <c r="D128" s="28" t="s">
        <v>27</v>
      </c>
      <c r="E128" s="28" t="s">
        <v>106</v>
      </c>
      <c r="F128" s="36" t="s">
        <v>29</v>
      </c>
      <c r="G128" s="28" t="s">
        <v>38</v>
      </c>
      <c r="H128" s="51" t="str">
        <f>HYPERLINK("https://innovativeincomeinvestor.com/security/braemar-hotels-resorts-8-25-series-d-cumulative-preferred-stock/","BHR-D")</f>
        <v>BHR-D</v>
      </c>
      <c r="I128" s="47">
        <v>8.2500000000000004E-2</v>
      </c>
      <c r="J128" s="65">
        <f ca="1">IFERROR(__xludf.DUMMYFUNCTION("GoogleFinance(H128)"),19.36)</f>
        <v>19.36</v>
      </c>
      <c r="K128" s="48">
        <f ca="1">IFERROR(__xludf.DUMMYFUNCTION("googlefinance(H128,""change"")"),-1.54)</f>
        <v>-1.54</v>
      </c>
      <c r="L128" s="27">
        <f t="shared" ca="1" si="65"/>
        <v>0.10653409090909091</v>
      </c>
      <c r="M128" s="27">
        <f t="shared" ref="M128:M129" ca="1" si="67">(25-J128)/25</f>
        <v>0.22560000000000002</v>
      </c>
      <c r="N128" s="28" t="s">
        <v>31</v>
      </c>
      <c r="O128" s="28" t="s">
        <v>32</v>
      </c>
      <c r="P128" s="28" t="s">
        <v>32</v>
      </c>
      <c r="Q128" s="29">
        <f>(I128*25)/4</f>
        <v>0.515625</v>
      </c>
      <c r="R128" s="64">
        <v>45250</v>
      </c>
      <c r="S128" s="28" t="s">
        <v>41</v>
      </c>
      <c r="T128" s="62" t="s">
        <v>60</v>
      </c>
      <c r="U128" s="16">
        <f t="shared" ca="1" si="47"/>
        <v>-1.6383561643835616</v>
      </c>
      <c r="V128" s="11" t="str">
        <v>All</v>
      </c>
      <c r="X128">
        <f t="shared" ca="1" si="38"/>
        <v>0.36123073899596969</v>
      </c>
      <c r="Z128" s="17">
        <f t="shared" ca="1" si="39"/>
        <v>46213</v>
      </c>
      <c r="AG128" s="33">
        <f t="shared" ca="1" si="40"/>
        <v>0.22578111903391507</v>
      </c>
      <c r="AH128">
        <f t="shared" ca="1" si="41"/>
        <v>0.14703120967105759</v>
      </c>
      <c r="AI128">
        <f t="shared" ca="1" si="42"/>
        <v>0.13246491192848342</v>
      </c>
      <c r="AJ128">
        <f t="shared" ca="1" si="43"/>
        <v>0.12184111699996809</v>
      </c>
      <c r="AK128">
        <f t="shared" ca="1" si="44"/>
        <v>0.11063422487356796</v>
      </c>
    </row>
    <row r="129" spans="1:37" ht="17.25" customHeight="1">
      <c r="A129" s="19"/>
      <c r="B129" s="45" t="s">
        <v>150</v>
      </c>
      <c r="C129" s="28" t="s">
        <v>35</v>
      </c>
      <c r="D129" s="28" t="s">
        <v>27</v>
      </c>
      <c r="E129" s="28" t="s">
        <v>106</v>
      </c>
      <c r="F129" s="36" t="s">
        <v>29</v>
      </c>
      <c r="G129" s="28" t="s">
        <v>151</v>
      </c>
      <c r="H129" s="124" t="str">
        <f>HYPERLINK("https://innovativeincomeinvestor.com/security/braemar-hotels-resorts-inc-5-5-series-b-cumulative-convertible-preferred/","BHR-B")</f>
        <v>BHR-B</v>
      </c>
      <c r="I129" s="47">
        <v>5.5E-2</v>
      </c>
      <c r="J129" s="65">
        <f ca="1">IFERROR(__xludf.DUMMYFUNCTION("GoogleFinance(H129)"),13.13)</f>
        <v>13.13</v>
      </c>
      <c r="K129" s="48">
        <f ca="1">IFERROR(__xludf.DUMMYFUNCTION("googlefinance(H129,""change"")"),-0.06)</f>
        <v>-0.06</v>
      </c>
      <c r="L129" s="27">
        <f t="shared" ca="1" si="65"/>
        <v>0.10479817212490479</v>
      </c>
      <c r="M129" s="27">
        <f t="shared" ca="1" si="67"/>
        <v>0.47479999999999994</v>
      </c>
      <c r="N129" s="28" t="s">
        <v>31</v>
      </c>
      <c r="O129" s="28" t="s">
        <v>32</v>
      </c>
      <c r="P129" s="28" t="s">
        <v>32</v>
      </c>
      <c r="Q129" s="29">
        <v>0.34399999999999997</v>
      </c>
      <c r="R129" s="64">
        <v>43993</v>
      </c>
      <c r="S129" s="28" t="s">
        <v>41</v>
      </c>
      <c r="T129" s="62" t="s">
        <v>60</v>
      </c>
      <c r="U129" s="16">
        <f t="shared" ca="1" si="47"/>
        <v>-5.0821917808219181</v>
      </c>
      <c r="V129" s="11" t="str">
        <v>All</v>
      </c>
      <c r="X129">
        <f t="shared" ca="1" si="38"/>
        <v>0.78260041181309425</v>
      </c>
      <c r="Z129" s="17">
        <f t="shared" ca="1" si="39"/>
        <v>46213</v>
      </c>
      <c r="AG129" s="33">
        <f t="shared" ca="1" si="40"/>
        <v>0.41628759889421812</v>
      </c>
      <c r="AH129">
        <f t="shared" ca="1" si="41"/>
        <v>0.21102773333207542</v>
      </c>
      <c r="AI129">
        <f t="shared" ca="1" si="42"/>
        <v>0.17350159348940006</v>
      </c>
      <c r="AJ129">
        <f t="shared" ca="1" si="43"/>
        <v>0.14605601838000398</v>
      </c>
      <c r="AK129">
        <f t="shared" ca="1" si="44"/>
        <v>0.11651667682513236</v>
      </c>
    </row>
    <row r="130" spans="1:37" ht="17.25" customHeight="1">
      <c r="A130" s="19"/>
      <c r="B130" s="45" t="s">
        <v>152</v>
      </c>
      <c r="C130" s="28" t="s">
        <v>27</v>
      </c>
      <c r="D130" s="28" t="s">
        <v>35</v>
      </c>
      <c r="E130" s="28" t="s">
        <v>110</v>
      </c>
      <c r="F130" s="36" t="s">
        <v>29</v>
      </c>
      <c r="G130" s="28" t="s">
        <v>38</v>
      </c>
      <c r="H130" s="55" t="str">
        <f>HYPERLINK("https://innovativeincomeinvestor.com/security/bridgewater-bancshares-inc-5-875-non-cumulative-perpetual-preferred-stock-series-a-2/","BWBBP")</f>
        <v>BWBBP</v>
      </c>
      <c r="I130" s="47">
        <v>5.8749999999999997E-2</v>
      </c>
      <c r="J130" s="65">
        <f ca="1">IFERROR(__xludf.DUMMYFUNCTION("GoogleFinance(H130)"),18.52)</f>
        <v>18.52</v>
      </c>
      <c r="K130" s="48">
        <f ca="1">IFERROR(__xludf.DUMMYFUNCTION("googlefinance(H130,""change"")"),-0.06)</f>
        <v>-0.06</v>
      </c>
      <c r="L130" s="27">
        <f t="shared" ca="1" si="65"/>
        <v>7.9913606911447083E-2</v>
      </c>
      <c r="M130" s="27">
        <f t="array" aca="1" ref="M130" ca="1">L130*U130+(25-J130)/25/U130</f>
        <v>0.32299268489670768</v>
      </c>
      <c r="N130" s="28" t="s">
        <v>31</v>
      </c>
      <c r="O130" s="28" t="s">
        <v>32</v>
      </c>
      <c r="P130" s="28" t="s">
        <v>32</v>
      </c>
      <c r="Q130" s="29">
        <v>0.37</v>
      </c>
      <c r="R130" s="64">
        <v>46251</v>
      </c>
      <c r="S130" s="28" t="s">
        <v>41</v>
      </c>
      <c r="T130" s="62" t="s">
        <v>81</v>
      </c>
      <c r="U130" s="16">
        <f t="shared" ca="1" si="47"/>
        <v>1.1041095890410959</v>
      </c>
      <c r="V130" s="11" t="str">
        <v>All</v>
      </c>
      <c r="X130">
        <f t="shared" ca="1" si="38"/>
        <v>0.38278874749521358</v>
      </c>
      <c r="Z130" s="17">
        <f t="shared" ca="1" si="39"/>
        <v>46213</v>
      </c>
      <c r="AG130" s="33">
        <f t="shared" ca="1" si="40"/>
        <v>0.22289803794461294</v>
      </c>
      <c r="AH130">
        <f t="shared" ca="1" si="41"/>
        <v>0.13010459922324508</v>
      </c>
      <c r="AI130">
        <f t="shared" ca="1" si="42"/>
        <v>0.11282748018415617</v>
      </c>
      <c r="AJ130">
        <f t="shared" ca="1" si="43"/>
        <v>0.1000787278274856</v>
      </c>
      <c r="AK130">
        <f t="shared" ca="1" si="44"/>
        <v>8.6023933562034416E-2</v>
      </c>
    </row>
    <row r="131" spans="1:37" ht="17.25" customHeight="1">
      <c r="A131" s="19"/>
      <c r="B131" s="45" t="s">
        <v>153</v>
      </c>
      <c r="C131" s="28" t="s">
        <v>27</v>
      </c>
      <c r="D131" s="28" t="s">
        <v>27</v>
      </c>
      <c r="E131" s="28" t="s">
        <v>28</v>
      </c>
      <c r="F131" s="36" t="s">
        <v>29</v>
      </c>
      <c r="G131" s="28" t="s">
        <v>30</v>
      </c>
      <c r="H131" s="51" t="str">
        <f>HYPERLINK("https://innovativeincomeinvestor.com/security/brighthouse-financial-6-25-junior-subordinated-debentures-due-2058/","BHFAL")</f>
        <v>BHFAL</v>
      </c>
      <c r="I131" s="47">
        <v>6.25E-2</v>
      </c>
      <c r="J131" s="56">
        <f ca="1">IFERROR(__xludf.DUMMYFUNCTION("importxml(""https://bigcharts.marketwatch.com/quickchart/quickchart.asp?symb=BHFAL&amp;insttype=Stock"",""/html/body/div[1]/div[2]/table/tbody/tr/td[1]/table/tbody/tr[3]/td[1]/div"")"),19.35)</f>
        <v>19.350000000000001</v>
      </c>
      <c r="K131" s="26" t="s">
        <v>49</v>
      </c>
      <c r="L131" s="27">
        <f t="shared" ca="1" si="65"/>
        <v>8.0749354005167959E-2</v>
      </c>
      <c r="M131" s="27">
        <f t="shared" ref="M131:M132" ca="1" si="68">(25-J131)/25</f>
        <v>0.22599999999999995</v>
      </c>
      <c r="N131" s="28" t="s">
        <v>39</v>
      </c>
      <c r="O131" s="28" t="s">
        <v>55</v>
      </c>
      <c r="P131" s="28" t="s">
        <v>83</v>
      </c>
      <c r="Q131" s="29">
        <f t="shared" ref="Q131:Q132" si="69">(I131*25)/4</f>
        <v>0.390625</v>
      </c>
      <c r="R131" s="64">
        <v>45184</v>
      </c>
      <c r="S131" s="64">
        <v>57968</v>
      </c>
      <c r="T131" s="62" t="s">
        <v>52</v>
      </c>
      <c r="U131" s="16">
        <f t="shared" ca="1" si="47"/>
        <v>-1.8191780821917809</v>
      </c>
      <c r="V131" s="11" t="str">
        <v>All</v>
      </c>
      <c r="X131">
        <f t="shared" ref="X131:X194" ca="1" si="70">YIELD($W$1,Z131,I131,J131*4,100,4,0)</f>
        <v>0.33820684400436624</v>
      </c>
      <c r="Z131" s="17">
        <f t="shared" ref="Z131:Z194" ca="1" si="71">TODAY()+($Z$1*$Y$1)</f>
        <v>46213</v>
      </c>
      <c r="AG131" s="33">
        <f t="shared" ref="AG131:AG194" ca="1" si="72">YIELD($W$1,$AA$2,I131,J131*4,100,4,0)</f>
        <v>0.20275872577928405</v>
      </c>
      <c r="AH131">
        <f t="shared" ref="AH131:AH194" ca="1" si="73">YIELD($W$1,$AB$2,I131,J131*4,100,4,0)</f>
        <v>0.12382558652548006</v>
      </c>
      <c r="AI131">
        <f t="shared" ref="AI131:AI194" ca="1" si="74">YIELD($W$1,$AC$2,I131,J131*4,100,4,0)</f>
        <v>0.1091115864078195</v>
      </c>
      <c r="AJ131">
        <f t="shared" ref="AJ131:AJ194" ca="1" si="75">YIELD($W$1,$AD$2,I131,J131*4,100,4,0)</f>
        <v>9.8259706089699084E-2</v>
      </c>
      <c r="AK131">
        <f t="shared" ref="AK131:AK194" ca="1" si="76">YIELD($W$1,$AE$2,I131,J131*4,100,4,0)</f>
        <v>8.6333857000350692E-2</v>
      </c>
    </row>
    <row r="132" spans="1:37" ht="17.25" customHeight="1">
      <c r="A132" s="19"/>
      <c r="B132" s="45" t="s">
        <v>153</v>
      </c>
      <c r="C132" s="28" t="s">
        <v>27</v>
      </c>
      <c r="D132" s="28" t="s">
        <v>35</v>
      </c>
      <c r="E132" s="28" t="s">
        <v>28</v>
      </c>
      <c r="F132" s="36" t="s">
        <v>29</v>
      </c>
      <c r="G132" s="28" t="s">
        <v>38</v>
      </c>
      <c r="H132" s="51" t="str">
        <f>HYPERLINK("https://innovativeincomeinvestor.com/security/brighthouse-financial-6-60-non-cumulative-preferred-stock-series-a/","BHFAP")</f>
        <v>BHFAP</v>
      </c>
      <c r="I132" s="47">
        <v>6.6000000000000003E-2</v>
      </c>
      <c r="J132" s="125">
        <f ca="1">IFERROR(__xludf.DUMMYFUNCTION("GoogleFinance(H132)"),18.4)</f>
        <v>18.399999999999999</v>
      </c>
      <c r="K132" s="48">
        <f ca="1">IFERROR(__xludf.DUMMYFUNCTION("googlefinance(H132,""change"")"),-0.74)</f>
        <v>-0.74</v>
      </c>
      <c r="L132" s="27">
        <f t="shared" ca="1" si="65"/>
        <v>8.9673913043478271E-2</v>
      </c>
      <c r="M132" s="27">
        <f t="shared" ca="1" si="68"/>
        <v>0.26400000000000007</v>
      </c>
      <c r="N132" s="28" t="s">
        <v>39</v>
      </c>
      <c r="O132" s="28" t="s">
        <v>55</v>
      </c>
      <c r="P132" s="28" t="s">
        <v>146</v>
      </c>
      <c r="Q132" s="29">
        <f t="shared" si="69"/>
        <v>0.41250000000000003</v>
      </c>
      <c r="R132" s="64">
        <v>45376</v>
      </c>
      <c r="S132" s="28" t="s">
        <v>41</v>
      </c>
      <c r="T132" s="62" t="s">
        <v>133</v>
      </c>
      <c r="U132" s="16">
        <f t="shared" ca="1" si="47"/>
        <v>-1.2931506849315069</v>
      </c>
      <c r="V132" s="11" t="str">
        <v>All</v>
      </c>
      <c r="X132">
        <f t="shared" ca="1" si="70"/>
        <v>0.39894742426258267</v>
      </c>
      <c r="Z132" s="17">
        <f t="shared" ca="1" si="71"/>
        <v>46213</v>
      </c>
      <c r="AG132" s="33">
        <f t="shared" ca="1" si="72"/>
        <v>0.23525674129704791</v>
      </c>
      <c r="AH132">
        <f t="shared" ca="1" si="73"/>
        <v>0.14039563978318034</v>
      </c>
      <c r="AI132">
        <f t="shared" ca="1" si="74"/>
        <v>0.12278534253886843</v>
      </c>
      <c r="AJ132">
        <f t="shared" ca="1" si="75"/>
        <v>0.10984126558823221</v>
      </c>
      <c r="AK132">
        <f t="shared" ca="1" si="76"/>
        <v>9.5774310607212337E-2</v>
      </c>
    </row>
    <row r="133" spans="1:37" ht="17.25" customHeight="1">
      <c r="A133" s="19"/>
      <c r="B133" s="45" t="s">
        <v>153</v>
      </c>
      <c r="C133" s="28" t="s">
        <v>27</v>
      </c>
      <c r="D133" s="28" t="s">
        <v>35</v>
      </c>
      <c r="E133" s="28" t="s">
        <v>28</v>
      </c>
      <c r="F133" s="36" t="s">
        <v>29</v>
      </c>
      <c r="G133" s="28" t="s">
        <v>38</v>
      </c>
      <c r="H133" s="83" t="str">
        <f>HYPERLINK("https://innovativeincomeinvestor.com/security/brighthouse-financial-6-60-non-cumulative-preferred-stock-series-a-2/","BHFAO")</f>
        <v>BHFAO</v>
      </c>
      <c r="I133" s="47">
        <v>6.7500000000000004E-2</v>
      </c>
      <c r="J133" s="54">
        <f ca="1">IFERROR(__xludf.DUMMYFUNCTION("GoogleFinance(H133)"),19.22)</f>
        <v>19.22</v>
      </c>
      <c r="K133" s="48">
        <f ca="1">IFERROR(__xludf.DUMMYFUNCTION("googlefinance(H133,""change"")"),-0.69)</f>
        <v>-0.69</v>
      </c>
      <c r="L133" s="27">
        <f t="shared" ca="1" si="65"/>
        <v>8.7408949011446413E-2</v>
      </c>
      <c r="M133" s="27">
        <f t="shared" ref="M133:M144" ca="1" si="77">L133*U133+(25-J133)/25/U133</f>
        <v>-5.6294588152561795</v>
      </c>
      <c r="N133" s="28" t="s">
        <v>39</v>
      </c>
      <c r="O133" s="28" t="s">
        <v>55</v>
      </c>
      <c r="P133" s="28" t="s">
        <v>146</v>
      </c>
      <c r="Q133" s="29">
        <v>0.42</v>
      </c>
      <c r="R133" s="64">
        <v>45833</v>
      </c>
      <c r="S133" s="28" t="s">
        <v>41</v>
      </c>
      <c r="T133" s="62" t="s">
        <v>133</v>
      </c>
      <c r="U133" s="16">
        <f t="shared" ca="1" si="47"/>
        <v>-4.1095890410958902E-2</v>
      </c>
      <c r="V133" s="11" t="str">
        <v>All</v>
      </c>
      <c r="X133">
        <f t="shared" ca="1" si="70"/>
        <v>0.35164990295900289</v>
      </c>
      <c r="Z133" s="17">
        <f t="shared" ca="1" si="71"/>
        <v>46213</v>
      </c>
      <c r="AG133" s="33">
        <f t="shared" ca="1" si="72"/>
        <v>0.2123826102446085</v>
      </c>
      <c r="AH133">
        <f t="shared" ca="1" si="73"/>
        <v>0.13132381929092929</v>
      </c>
      <c r="AI133">
        <f t="shared" ca="1" si="74"/>
        <v>0.11624587646525948</v>
      </c>
      <c r="AJ133">
        <f t="shared" ca="1" si="75"/>
        <v>0.10515586451555298</v>
      </c>
      <c r="AK133">
        <f t="shared" ca="1" si="76"/>
        <v>9.308840844531166E-2</v>
      </c>
    </row>
    <row r="134" spans="1:37" ht="17.25" customHeight="1">
      <c r="A134" s="19"/>
      <c r="B134" s="45" t="s">
        <v>153</v>
      </c>
      <c r="C134" s="28" t="s">
        <v>27</v>
      </c>
      <c r="D134" s="28" t="s">
        <v>35</v>
      </c>
      <c r="E134" s="28" t="s">
        <v>28</v>
      </c>
      <c r="F134" s="36" t="s">
        <v>29</v>
      </c>
      <c r="G134" s="28" t="s">
        <v>38</v>
      </c>
      <c r="H134" s="51" t="str">
        <f>HYPERLINK("https://innovativeincomeinvestor.com/security/brighthouse-financial-inc-5-375-non-cumulative-preferred-stock-series-c/","BHFAN")</f>
        <v>BHFAN</v>
      </c>
      <c r="I134" s="47">
        <v>5.3749999999999999E-2</v>
      </c>
      <c r="J134" s="56">
        <f ca="1">IFERROR(__xludf.DUMMYFUNCTION("importxml(""https://bigcharts.marketwatch.com/quickchart/quickchart.asp?symb=BHFAN&amp;insttype=Stock"",""/html/body/div[1]/div[2]/table/tbody/tr/td[1]/table/tbody/tr[3]/td[1]/div"")"),15.03)</f>
        <v>15.03</v>
      </c>
      <c r="K134" s="113">
        <f ca="1">IFERROR(__xludf.DUMMYFUNCTION("googlefinance(H134,""change"")"),-0.31)</f>
        <v>-0.31</v>
      </c>
      <c r="L134" s="58">
        <f t="shared" ca="1" si="65"/>
        <v>9.0485695276114442E-2</v>
      </c>
      <c r="M134" s="58">
        <f t="shared" ca="1" si="77"/>
        <v>0.90808868661893438</v>
      </c>
      <c r="N134" s="59" t="s">
        <v>39</v>
      </c>
      <c r="O134" s="59" t="s">
        <v>55</v>
      </c>
      <c r="P134" s="28" t="s">
        <v>146</v>
      </c>
      <c r="Q134" s="29">
        <v>0.34</v>
      </c>
      <c r="R134" s="82">
        <v>46016</v>
      </c>
      <c r="S134" s="28" t="s">
        <v>41</v>
      </c>
      <c r="T134" s="62" t="s">
        <v>133</v>
      </c>
      <c r="U134" s="16">
        <f t="shared" ca="1" si="47"/>
        <v>0.46027397260273972</v>
      </c>
      <c r="V134" s="11" t="str">
        <v>All</v>
      </c>
      <c r="X134">
        <f t="shared" ca="1" si="70"/>
        <v>0.61742407261088494</v>
      </c>
      <c r="Z134" s="17">
        <f t="shared" ca="1" si="71"/>
        <v>46213</v>
      </c>
      <c r="AG134" s="33">
        <f t="shared" ca="1" si="72"/>
        <v>0.33540996057836514</v>
      </c>
      <c r="AH134">
        <f t="shared" ca="1" si="73"/>
        <v>0.17513565558692756</v>
      </c>
      <c r="AI134">
        <f t="shared" ca="1" si="74"/>
        <v>0.14558766841063386</v>
      </c>
      <c r="AJ134">
        <f t="shared" ca="1" si="75"/>
        <v>0.12386270054934377</v>
      </c>
      <c r="AK134">
        <f t="shared" ca="1" si="76"/>
        <v>0.10009022337330652</v>
      </c>
    </row>
    <row r="135" spans="1:37" ht="17.25" customHeight="1">
      <c r="A135" s="19"/>
      <c r="B135" s="45" t="s">
        <v>153</v>
      </c>
      <c r="C135" s="28" t="s">
        <v>27</v>
      </c>
      <c r="D135" s="28" t="s">
        <v>27</v>
      </c>
      <c r="E135" s="28" t="s">
        <v>28</v>
      </c>
      <c r="F135" s="36" t="s">
        <v>29</v>
      </c>
      <c r="G135" s="28" t="s">
        <v>38</v>
      </c>
      <c r="H135" s="83" t="str">
        <f>HYPERLINK("https://innovativeincomeinvestor.com/security/brighthouse-financial-inc-3-85-senior-notes-due-2051/","BHFAM")</f>
        <v>BHFAM</v>
      </c>
      <c r="I135" s="47">
        <v>4.6249999999999999E-2</v>
      </c>
      <c r="J135" s="126">
        <f ca="1">IFERROR(__xludf.DUMMYFUNCTION("GoogleFinance(H135)"),13.17)</f>
        <v>13.17</v>
      </c>
      <c r="K135" s="113">
        <f ca="1">IFERROR(__xludf.DUMMYFUNCTION("googlefinance(H135,""change"")"),-0.27)</f>
        <v>-0.27</v>
      </c>
      <c r="L135" s="58">
        <f t="shared" ca="1" si="65"/>
        <v>8.7794229309035687E-2</v>
      </c>
      <c r="M135" s="58">
        <f t="shared" ca="1" si="77"/>
        <v>0.45225240849250636</v>
      </c>
      <c r="N135" s="59" t="s">
        <v>39</v>
      </c>
      <c r="O135" s="59" t="s">
        <v>55</v>
      </c>
      <c r="P135" s="28" t="s">
        <v>146</v>
      </c>
      <c r="Q135" s="29">
        <f>(I135*25)/4</f>
        <v>0.2890625</v>
      </c>
      <c r="R135" s="64">
        <v>46381</v>
      </c>
      <c r="S135" s="28" t="s">
        <v>41</v>
      </c>
      <c r="T135" s="62" t="s">
        <v>133</v>
      </c>
      <c r="U135" s="16">
        <f t="shared" ca="1" si="47"/>
        <v>1.4602739726027398</v>
      </c>
      <c r="V135" s="11" t="str">
        <v>All</v>
      </c>
      <c r="X135">
        <f t="shared" ca="1" si="70"/>
        <v>0.76549748563205777</v>
      </c>
      <c r="Z135" s="17">
        <f t="shared" ca="1" si="71"/>
        <v>46213</v>
      </c>
      <c r="AG135" s="33">
        <f t="shared" ca="1" si="72"/>
        <v>0.40154214930393572</v>
      </c>
      <c r="AH135">
        <f t="shared" ca="1" si="73"/>
        <v>0.19732069867636498</v>
      </c>
      <c r="AI135">
        <f t="shared" ca="1" si="74"/>
        <v>0.15983790340571538</v>
      </c>
      <c r="AJ135">
        <f t="shared" ca="1" si="75"/>
        <v>0.13226845630092751</v>
      </c>
      <c r="AK135">
        <f t="shared" ca="1" si="76"/>
        <v>0.10193113466344669</v>
      </c>
    </row>
    <row r="136" spans="1:37" ht="17.25" customHeight="1">
      <c r="A136" s="19"/>
      <c r="B136" s="45" t="s">
        <v>154</v>
      </c>
      <c r="C136" s="28" t="s">
        <v>27</v>
      </c>
      <c r="D136" s="28" t="s">
        <v>27</v>
      </c>
      <c r="E136" s="28" t="s">
        <v>155</v>
      </c>
      <c r="F136" s="36" t="s">
        <v>29</v>
      </c>
      <c r="G136" s="28" t="s">
        <v>30</v>
      </c>
      <c r="H136" s="127" t="str">
        <f>HYPERLINK("https://innovativeincomeinvestor.com/security/brookfield-brp-holdings-canada-inc-4-625-perpetual-subordinated-notes/","BEPH")</f>
        <v>BEPH</v>
      </c>
      <c r="I136" s="47">
        <v>4.6249999999999999E-2</v>
      </c>
      <c r="J136" s="128">
        <f ca="1">IFERROR(__xludf.DUMMYFUNCTION("GOOGLEFINANCE(H136)"),15.73)</f>
        <v>15.73</v>
      </c>
      <c r="K136" s="115">
        <f ca="1">IFERROR(__xludf.DUMMYFUNCTION("GOOGLEFINANCE(H136,""change"")"),0)</f>
        <v>0</v>
      </c>
      <c r="L136" s="97">
        <f t="shared" ca="1" si="65"/>
        <v>7.3744437380801012E-2</v>
      </c>
      <c r="M136" s="27">
        <f t="shared" ca="1" si="77"/>
        <v>0.5197465677890869</v>
      </c>
      <c r="N136" s="89" t="s">
        <v>39</v>
      </c>
      <c r="O136" s="89" t="s">
        <v>55</v>
      </c>
      <c r="P136" s="28" t="s">
        <v>32</v>
      </c>
      <c r="Q136" s="29">
        <v>0.28999999999999998</v>
      </c>
      <c r="R136" s="64">
        <v>46142</v>
      </c>
      <c r="S136" s="36" t="s">
        <v>41</v>
      </c>
      <c r="T136" s="62" t="s">
        <v>45</v>
      </c>
      <c r="U136" s="16">
        <f t="shared" ca="1" si="47"/>
        <v>0.80547945205479454</v>
      </c>
      <c r="V136" s="11" t="str">
        <v>All</v>
      </c>
      <c r="X136">
        <f t="shared" ca="1" si="70"/>
        <v>0.55363059770434508</v>
      </c>
      <c r="Z136" s="17">
        <f t="shared" ca="1" si="71"/>
        <v>46213</v>
      </c>
      <c r="AG136" s="33">
        <f t="shared" ca="1" si="72"/>
        <v>0.29930318238365056</v>
      </c>
      <c r="AH136">
        <f t="shared" ca="1" si="73"/>
        <v>0.15397522291465304</v>
      </c>
      <c r="AI136">
        <f t="shared" ca="1" si="74"/>
        <v>0.12704556887123278</v>
      </c>
      <c r="AJ136">
        <f t="shared" ca="1" si="75"/>
        <v>0.10714464267931</v>
      </c>
      <c r="AK136">
        <f t="shared" ca="1" si="76"/>
        <v>8.4969322788435081E-2</v>
      </c>
    </row>
    <row r="137" spans="1:37" ht="17.25" customHeight="1">
      <c r="A137" s="19"/>
      <c r="B137" s="45" t="s">
        <v>154</v>
      </c>
      <c r="C137" s="28" t="s">
        <v>27</v>
      </c>
      <c r="D137" s="28" t="s">
        <v>27</v>
      </c>
      <c r="E137" s="28" t="s">
        <v>155</v>
      </c>
      <c r="F137" s="36" t="s">
        <v>29</v>
      </c>
      <c r="G137" s="28" t="s">
        <v>30</v>
      </c>
      <c r="H137" s="83" t="str">
        <f>HYPERLINK("https://innovativeincomeinvestor.com/security/brookfield-brp-holdings-canada-inc-4-875-perpetual-subordinated-notes/","BEPI")</f>
        <v>BEPI</v>
      </c>
      <c r="I137" s="47">
        <v>4.8750000000000002E-2</v>
      </c>
      <c r="J137" s="128">
        <f ca="1">IFERROR(__xludf.DUMMYFUNCTION("GOOGLEFINANCE(H137)"),16.32)</f>
        <v>16.32</v>
      </c>
      <c r="K137" s="115">
        <f ca="1">IFERROR(__xludf.DUMMYFUNCTION("GOOGLEFINANCE(H137,""change"")"),-0.07)</f>
        <v>-7.0000000000000007E-2</v>
      </c>
      <c r="L137" s="97">
        <f t="shared" ca="1" si="65"/>
        <v>7.3529411764705885E-2</v>
      </c>
      <c r="M137" s="27">
        <f t="shared" ca="1" si="77"/>
        <v>0.34927173599627181</v>
      </c>
      <c r="N137" s="89" t="s">
        <v>39</v>
      </c>
      <c r="O137" s="89" t="s">
        <v>55</v>
      </c>
      <c r="P137" s="28" t="s">
        <v>32</v>
      </c>
      <c r="Q137" s="29">
        <v>0.3</v>
      </c>
      <c r="R137" s="64">
        <v>46365</v>
      </c>
      <c r="S137" s="36" t="s">
        <v>41</v>
      </c>
      <c r="T137" s="50" t="s">
        <v>45</v>
      </c>
      <c r="U137" s="16">
        <f t="shared" ca="1" si="47"/>
        <v>1.4164383561643836</v>
      </c>
      <c r="V137" s="11" t="str">
        <v>All</v>
      </c>
      <c r="X137">
        <f t="shared" ca="1" si="70"/>
        <v>0.51426673830114888</v>
      </c>
      <c r="Z137" s="17">
        <f t="shared" ca="1" si="71"/>
        <v>46213</v>
      </c>
      <c r="AG137" s="33">
        <f t="shared" ca="1" si="72"/>
        <v>0.28171604744958789</v>
      </c>
      <c r="AH137">
        <f t="shared" ca="1" si="73"/>
        <v>0.14836186581067129</v>
      </c>
      <c r="AI137">
        <f t="shared" ca="1" si="74"/>
        <v>0.12362226519826158</v>
      </c>
      <c r="AJ137">
        <f t="shared" ca="1" si="75"/>
        <v>0.10534381610671048</v>
      </c>
      <c r="AK137">
        <f t="shared" ca="1" si="76"/>
        <v>8.5017688845206607E-2</v>
      </c>
    </row>
    <row r="138" spans="1:37" ht="17.25" customHeight="1">
      <c r="A138" s="19"/>
      <c r="B138" s="45" t="s">
        <v>156</v>
      </c>
      <c r="C138" s="28" t="s">
        <v>27</v>
      </c>
      <c r="D138" s="28" t="s">
        <v>27</v>
      </c>
      <c r="E138" s="28" t="s">
        <v>54</v>
      </c>
      <c r="F138" s="36" t="s">
        <v>29</v>
      </c>
      <c r="G138" s="28" t="s">
        <v>30</v>
      </c>
      <c r="H138" s="90" t="str">
        <f>HYPERLINK("https://innovativeincomeinvestor.com/security/brookfield-finance-inc-4-625-subordinated-notes-due-10-16-2080/","BNH")</f>
        <v>BNH</v>
      </c>
      <c r="I138" s="47">
        <v>4.6249999999999999E-2</v>
      </c>
      <c r="J138" s="56">
        <f ca="1">IFERROR(__xludf.DUMMYFUNCTION("importxml(""https://bigcharts.marketwatch.com/quickchart/quickchart.asp?symb=BNH&amp;insttype=Stock"",""/html/body/div[1]/div[2]/table/tbody/tr/td[1]/table/tbody/tr[3]/td[1]/div"")"),15.55)</f>
        <v>15.55</v>
      </c>
      <c r="K138" s="26">
        <f ca="1">IFERROR(__xludf.DUMMYFUNCTION("GOOGLEFINANCE(H138,""change"")"),0.05)</f>
        <v>0.05</v>
      </c>
      <c r="L138" s="27">
        <f t="shared" ca="1" si="65"/>
        <v>7.4598070739549827E-2</v>
      </c>
      <c r="M138" s="27">
        <f t="shared" ca="1" si="77"/>
        <v>1.4278862139050219</v>
      </c>
      <c r="N138" s="28" t="s">
        <v>39</v>
      </c>
      <c r="O138" s="28" t="s">
        <v>50</v>
      </c>
      <c r="P138" s="28" t="s">
        <v>64</v>
      </c>
      <c r="Q138" s="29">
        <v>0.28999999999999998</v>
      </c>
      <c r="R138" s="64">
        <v>45946</v>
      </c>
      <c r="S138" s="61">
        <v>66035</v>
      </c>
      <c r="T138" s="62" t="s">
        <v>60</v>
      </c>
      <c r="U138" s="16">
        <f t="shared" ca="1" si="47"/>
        <v>0.26849315068493151</v>
      </c>
      <c r="V138" s="11" t="str">
        <v>All</v>
      </c>
      <c r="X138">
        <f t="shared" ca="1" si="70"/>
        <v>0.56705238933288504</v>
      </c>
      <c r="Z138" s="17">
        <f t="shared" ca="1" si="71"/>
        <v>46213</v>
      </c>
      <c r="AG138" s="33">
        <f t="shared" ca="1" si="72"/>
        <v>0.30583518436303331</v>
      </c>
      <c r="AH138">
        <f t="shared" ca="1" si="73"/>
        <v>0.15674565550640834</v>
      </c>
      <c r="AI138">
        <f t="shared" ca="1" si="74"/>
        <v>0.1291357572630151</v>
      </c>
      <c r="AJ138">
        <f t="shared" ca="1" si="75"/>
        <v>0.10873797888911217</v>
      </c>
      <c r="AK138">
        <f t="shared" ca="1" si="76"/>
        <v>8.602552213771178E-2</v>
      </c>
    </row>
    <row r="139" spans="1:37" ht="17.25" customHeight="1">
      <c r="A139" s="19"/>
      <c r="B139" s="45" t="s">
        <v>156</v>
      </c>
      <c r="C139" s="28" t="s">
        <v>27</v>
      </c>
      <c r="D139" s="28" t="s">
        <v>27</v>
      </c>
      <c r="E139" s="28" t="s">
        <v>54</v>
      </c>
      <c r="F139" s="36" t="s">
        <v>29</v>
      </c>
      <c r="G139" s="28" t="s">
        <v>30</v>
      </c>
      <c r="H139" s="23" t="str">
        <f>HYPERLINK("https://innovativeincomeinvestor.com/security/brookfield-finance-i-plc-4-50-perpetual-subordinated-notes/","BAMI")</f>
        <v>BAMI</v>
      </c>
      <c r="I139" s="47">
        <v>4.4999999999999998E-2</v>
      </c>
      <c r="J139" s="56">
        <f ca="1">IFERROR(__xludf.DUMMYFUNCTION("importxml(""https://bigcharts.marketwatch.com/quickchart/quickchart.asp?symb=BNJ&amp;insttype=Stock"",""/html/body/div[1]/div[2]/table/tbody/tr/td[1]/table/tbody/tr[3]/td[1]/div"")"),15.27)</f>
        <v>15.27</v>
      </c>
      <c r="K139" s="26">
        <f ca="1">IFERROR(__xludf.DUMMYFUNCTION("GOOGLEFINANCE(H139,""change"")"),0.23)</f>
        <v>0.23</v>
      </c>
      <c r="L139" s="27">
        <f t="shared" ca="1" si="65"/>
        <v>7.5965946299934514E-2</v>
      </c>
      <c r="M139" s="27">
        <f t="shared" ca="1" si="77"/>
        <v>1.0654329536267066</v>
      </c>
      <c r="N139" s="28" t="s">
        <v>39</v>
      </c>
      <c r="O139" s="28" t="s">
        <v>50</v>
      </c>
      <c r="P139" s="28" t="s">
        <v>64</v>
      </c>
      <c r="Q139" s="29">
        <v>0.28999999999999998</v>
      </c>
      <c r="R139" s="64">
        <v>45985</v>
      </c>
      <c r="S139" s="36" t="s">
        <v>41</v>
      </c>
      <c r="T139" s="62" t="s">
        <v>157</v>
      </c>
      <c r="U139" s="16">
        <f t="shared" ca="1" si="47"/>
        <v>0.37534246575342467</v>
      </c>
      <c r="V139" s="11" t="str">
        <v>All</v>
      </c>
      <c r="X139">
        <f t="shared" ca="1" si="70"/>
        <v>0.58660307413751067</v>
      </c>
      <c r="Z139" s="17">
        <f t="shared" ca="1" si="71"/>
        <v>46213</v>
      </c>
      <c r="AG139" s="33">
        <f t="shared" ca="1" si="72"/>
        <v>0.31449225693201893</v>
      </c>
      <c r="AH139">
        <f t="shared" ca="1" si="73"/>
        <v>0.15945519610140896</v>
      </c>
      <c r="AI139">
        <f t="shared" ca="1" si="74"/>
        <v>0.13076000252231848</v>
      </c>
      <c r="AJ139">
        <f t="shared" ca="1" si="75"/>
        <v>0.10955772379731968</v>
      </c>
      <c r="AK139">
        <f t="shared" ca="1" si="76"/>
        <v>8.5923896031837449E-2</v>
      </c>
    </row>
    <row r="140" spans="1:37" ht="17.25" customHeight="1">
      <c r="A140" s="19"/>
      <c r="B140" s="45" t="s">
        <v>158</v>
      </c>
      <c r="C140" s="28" t="s">
        <v>27</v>
      </c>
      <c r="D140" s="28" t="s">
        <v>27</v>
      </c>
      <c r="E140" s="28" t="s">
        <v>159</v>
      </c>
      <c r="F140" s="36" t="s">
        <v>29</v>
      </c>
      <c r="G140" s="28" t="s">
        <v>30</v>
      </c>
      <c r="H140" s="46" t="str">
        <f>HYPERLINK("https://innovativeincomeinvestor.com/security/brookfield-infrastructure-finance-ulc/","BIPH")</f>
        <v>BIPH</v>
      </c>
      <c r="I140" s="47">
        <v>0.05</v>
      </c>
      <c r="J140" s="54">
        <f ca="1">IFERROR(__xludf.DUMMYFUNCTION("GoogleFinance(H140)"),16.36)</f>
        <v>16.36</v>
      </c>
      <c r="K140" s="26">
        <f ca="1">IFERROR(__xludf.DUMMYFUNCTION("GOOGLEFINANCE(H140,""change"")"),0.12)</f>
        <v>0.12</v>
      </c>
      <c r="L140" s="27">
        <f t="shared" ca="1" si="65"/>
        <v>7.5794621026894868E-2</v>
      </c>
      <c r="M140" s="27">
        <f t="shared" ca="1" si="77"/>
        <v>0.4627140109996013</v>
      </c>
      <c r="N140" s="28" t="s">
        <v>39</v>
      </c>
      <c r="O140" s="28" t="s">
        <v>55</v>
      </c>
      <c r="P140" s="28" t="s">
        <v>32</v>
      </c>
      <c r="Q140" s="29">
        <v>0.31</v>
      </c>
      <c r="R140" s="64">
        <v>46166</v>
      </c>
      <c r="S140" s="61">
        <v>66255</v>
      </c>
      <c r="T140" s="62" t="s">
        <v>42</v>
      </c>
      <c r="U140" s="16">
        <f t="shared" ca="1" si="47"/>
        <v>0.87123287671232874</v>
      </c>
      <c r="V140" s="11" t="str">
        <v>All</v>
      </c>
      <c r="X140">
        <f t="shared" ca="1" si="70"/>
        <v>0.51308703206465667</v>
      </c>
      <c r="Z140" s="17">
        <f t="shared" ca="1" si="71"/>
        <v>46213</v>
      </c>
      <c r="AG140" s="33">
        <f t="shared" ca="1" si="72"/>
        <v>0.28194353559368002</v>
      </c>
      <c r="AH140">
        <f t="shared" ca="1" si="73"/>
        <v>0.1493788916296459</v>
      </c>
      <c r="AI140">
        <f t="shared" ca="1" si="74"/>
        <v>0.12479242477712296</v>
      </c>
      <c r="AJ140">
        <f t="shared" ca="1" si="75"/>
        <v>0.10663655637858671</v>
      </c>
      <c r="AK140">
        <f t="shared" ca="1" si="76"/>
        <v>8.6488296847782711E-2</v>
      </c>
    </row>
    <row r="141" spans="1:37" ht="17.25" customHeight="1">
      <c r="A141" s="19"/>
      <c r="B141" s="45" t="s">
        <v>158</v>
      </c>
      <c r="C141" s="28" t="s">
        <v>27</v>
      </c>
      <c r="D141" s="28" t="s">
        <v>27</v>
      </c>
      <c r="E141" s="28" t="s">
        <v>159</v>
      </c>
      <c r="F141" s="36" t="s">
        <v>29</v>
      </c>
      <c r="G141" s="28" t="s">
        <v>30</v>
      </c>
      <c r="H141" s="23" t="str">
        <f>HYPERLINK("https://innovativeincomeinvestor.com/security/brookfield-infrastructure-finance-ulc-7-25-subordinated-notes-due-2084/","BIPJ")</f>
        <v>BIPJ</v>
      </c>
      <c r="I141" s="47">
        <v>7.2499999999999995E-2</v>
      </c>
      <c r="J141" s="54">
        <f ca="1">IFERROR(__xludf.DUMMYFUNCTION("GoogleFinance(H141)"),22.98)</f>
        <v>22.98</v>
      </c>
      <c r="K141" s="26">
        <f ca="1">IFERROR(__xludf.DUMMYFUNCTION("GOOGLEFINANCE(H141,""change"")"),-0.01)</f>
        <v>-0.01</v>
      </c>
      <c r="L141" s="27">
        <f t="shared" ca="1" si="65"/>
        <v>7.8328981723237601E-2</v>
      </c>
      <c r="M141" s="27">
        <f t="shared" ca="1" si="77"/>
        <v>0.3257009271568585</v>
      </c>
      <c r="N141" s="28" t="s">
        <v>39</v>
      </c>
      <c r="O141" s="28" t="s">
        <v>55</v>
      </c>
      <c r="P141" s="28" t="s">
        <v>32</v>
      </c>
      <c r="Q141" s="29">
        <v>0.45</v>
      </c>
      <c r="R141" s="64">
        <v>47269</v>
      </c>
      <c r="S141" s="61">
        <v>67358</v>
      </c>
      <c r="T141" s="62" t="s">
        <v>42</v>
      </c>
      <c r="U141" s="16">
        <f t="shared" ca="1" si="47"/>
        <v>3.893150684931507</v>
      </c>
      <c r="V141" s="11" t="str">
        <v>All</v>
      </c>
      <c r="X141">
        <f t="shared" ca="1" si="70"/>
        <v>0.16162357045211476</v>
      </c>
      <c r="Z141" s="17">
        <f t="shared" ca="1" si="71"/>
        <v>46213</v>
      </c>
      <c r="AG141" s="33">
        <f t="shared" ca="1" si="72"/>
        <v>0.11846752370266297</v>
      </c>
      <c r="AH141">
        <f t="shared" ca="1" si="73"/>
        <v>9.2894412823681105E-2</v>
      </c>
      <c r="AI141">
        <f t="shared" ca="1" si="74"/>
        <v>8.8096367337582943E-2</v>
      </c>
      <c r="AJ141">
        <f t="shared" ca="1" si="75"/>
        <v>8.4555752226073658E-2</v>
      </c>
      <c r="AK141">
        <f t="shared" ca="1" si="76"/>
        <v>8.0674119428284549E-2</v>
      </c>
    </row>
    <row r="142" spans="1:37" ht="17.25" customHeight="1">
      <c r="A142" s="19"/>
      <c r="B142" s="45" t="s">
        <v>160</v>
      </c>
      <c r="C142" s="28" t="s">
        <v>35</v>
      </c>
      <c r="D142" s="28" t="s">
        <v>27</v>
      </c>
      <c r="E142" s="28" t="s">
        <v>155</v>
      </c>
      <c r="F142" s="36" t="s">
        <v>29</v>
      </c>
      <c r="G142" s="28" t="s">
        <v>38</v>
      </c>
      <c r="H142" s="83" t="str">
        <f>HYPERLINK("https://innovativeincomeinvestor.com/security/brookfield-infrastructure-partners-lp-5-125-class-a-preferred-limited-partnership-unit-series-13/","BIP-A")</f>
        <v>BIP-A</v>
      </c>
      <c r="I142" s="47">
        <v>5.1249999999999997E-2</v>
      </c>
      <c r="J142" s="54">
        <f ca="1">IFERROR(__xludf.DUMMYFUNCTION("GoogleFinance(H142)"),16.97)</f>
        <v>16.97</v>
      </c>
      <c r="K142" s="26">
        <f ca="1">IFERROR(__xludf.DUMMYFUNCTION("GOOGLEFINANCE(H142,""change"")"),-0.48)</f>
        <v>-0.48</v>
      </c>
      <c r="L142" s="27">
        <f t="shared" ca="1" si="65"/>
        <v>7.5427224513847979E-2</v>
      </c>
      <c r="M142" s="27">
        <f t="shared" ca="1" si="77"/>
        <v>1.2286842184847</v>
      </c>
      <c r="N142" s="28" t="s">
        <v>39</v>
      </c>
      <c r="O142" s="28" t="s">
        <v>55</v>
      </c>
      <c r="P142" s="28" t="s">
        <v>161</v>
      </c>
      <c r="Q142" s="29">
        <v>0.32</v>
      </c>
      <c r="R142" s="64">
        <v>45945</v>
      </c>
      <c r="S142" s="54" t="s">
        <v>41</v>
      </c>
      <c r="T142" s="62" t="s">
        <v>52</v>
      </c>
      <c r="U142" s="16">
        <f t="shared" ca="1" si="47"/>
        <v>0.26575342465753427</v>
      </c>
      <c r="V142" s="11" t="str">
        <v>All</v>
      </c>
      <c r="X142">
        <f t="shared" ca="1" si="70"/>
        <v>0.47260436850530979</v>
      </c>
      <c r="Z142" s="17">
        <f t="shared" ca="1" si="71"/>
        <v>46213</v>
      </c>
      <c r="AG142" s="33">
        <f t="shared" ca="1" si="72"/>
        <v>0.26285157604679299</v>
      </c>
      <c r="AH142">
        <f t="shared" ca="1" si="73"/>
        <v>0.14211772217074936</v>
      </c>
      <c r="AI142">
        <f t="shared" ca="1" si="74"/>
        <v>0.11969047144083339</v>
      </c>
      <c r="AJ142">
        <f t="shared" ca="1" si="75"/>
        <v>0.10312282934450791</v>
      </c>
      <c r="AK142">
        <f t="shared" ca="1" si="76"/>
        <v>8.4731853087879713E-2</v>
      </c>
    </row>
    <row r="143" spans="1:37" ht="17.25" customHeight="1">
      <c r="A143" s="19"/>
      <c r="B143" s="45" t="s">
        <v>160</v>
      </c>
      <c r="C143" s="28" t="s">
        <v>35</v>
      </c>
      <c r="D143" s="28" t="s">
        <v>27</v>
      </c>
      <c r="E143" s="28" t="s">
        <v>155</v>
      </c>
      <c r="F143" s="36" t="s">
        <v>29</v>
      </c>
      <c r="G143" s="28" t="s">
        <v>38</v>
      </c>
      <c r="H143" s="23" t="str">
        <f>HYPERLINK("https://innovativeincomeinvestor.com/security/brookfield-infrastructure-partners-lp-5-00-class-a-preferred-limited-partnership-units-series-14/","BIP-B")</f>
        <v>BIP-B</v>
      </c>
      <c r="I143" s="47">
        <v>0.05</v>
      </c>
      <c r="J143" s="54">
        <f ca="1">IFERROR(__xludf.DUMMYFUNCTION("GoogleFinance(H143)"),16.3)</f>
        <v>16.3</v>
      </c>
      <c r="K143" s="26">
        <f ca="1">IFERROR(__xludf.DUMMYFUNCTION("GOOGLEFINANCE(H143,""change"")"),-0.06)</f>
        <v>-0.06</v>
      </c>
      <c r="L143" s="27">
        <f t="shared" ca="1" si="65"/>
        <v>7.6073619631901832E-2</v>
      </c>
      <c r="M143" s="27">
        <f t="shared" ca="1" si="77"/>
        <v>0.62081214475226831</v>
      </c>
      <c r="N143" s="28" t="s">
        <v>39</v>
      </c>
      <c r="O143" s="28" t="s">
        <v>55</v>
      </c>
      <c r="P143" s="28" t="s">
        <v>161</v>
      </c>
      <c r="Q143" s="29">
        <v>0.31</v>
      </c>
      <c r="R143" s="64">
        <v>46069</v>
      </c>
      <c r="S143" s="54" t="s">
        <v>41</v>
      </c>
      <c r="T143" s="62" t="s">
        <v>52</v>
      </c>
      <c r="U143" s="16">
        <f t="shared" ca="1" si="47"/>
        <v>0.60547945205479448</v>
      </c>
      <c r="V143" s="11" t="str">
        <v>All</v>
      </c>
      <c r="X143">
        <f t="shared" ca="1" si="70"/>
        <v>0.51733453478103342</v>
      </c>
      <c r="Z143" s="17">
        <f t="shared" ca="1" si="71"/>
        <v>46213</v>
      </c>
      <c r="AG143" s="33">
        <f t="shared" ca="1" si="72"/>
        <v>0.28402495766369185</v>
      </c>
      <c r="AH143">
        <f t="shared" ca="1" si="73"/>
        <v>0.15026835003148867</v>
      </c>
      <c r="AI143">
        <f t="shared" ca="1" si="74"/>
        <v>0.1254657065748625</v>
      </c>
      <c r="AJ143">
        <f t="shared" ca="1" si="75"/>
        <v>0.10715197163898017</v>
      </c>
      <c r="AK143">
        <f t="shared" ca="1" si="76"/>
        <v>8.6833651946665563E-2</v>
      </c>
    </row>
    <row r="144" spans="1:37" ht="17.25" customHeight="1">
      <c r="A144" s="19"/>
      <c r="B144" s="45" t="s">
        <v>162</v>
      </c>
      <c r="C144" s="28" t="s">
        <v>35</v>
      </c>
      <c r="D144" s="28" t="s">
        <v>27</v>
      </c>
      <c r="E144" s="28" t="s">
        <v>155</v>
      </c>
      <c r="F144" s="36" t="s">
        <v>29</v>
      </c>
      <c r="G144" s="28" t="s">
        <v>38</v>
      </c>
      <c r="H144" s="51" t="str">
        <f>HYPERLINK("https://innovativeincomeinvestor.com/security/brookfield-property-partners-lp-6-25-cumulative-redeemable-preferred-stock-series-4/","BPYPM")</f>
        <v>BPYPM</v>
      </c>
      <c r="I144" s="47">
        <v>6.25E-2</v>
      </c>
      <c r="J144" s="26">
        <f ca="1">IFERROR(__xludf.DUMMYFUNCTION("GOOGLEFINANCE(H144)"),15.72)</f>
        <v>15.72</v>
      </c>
      <c r="K144" s="67">
        <f ca="1">IFERROR(__xludf.DUMMYFUNCTION("googlefinance(H144,""change"")"),0.13)</f>
        <v>0.13</v>
      </c>
      <c r="L144" s="27">
        <f t="shared" ca="1" si="65"/>
        <v>9.9236641221374045E-2</v>
      </c>
      <c r="M144" s="27">
        <f t="shared" ca="1" si="77"/>
        <v>0.45919828911901539</v>
      </c>
      <c r="N144" s="28" t="s">
        <v>31</v>
      </c>
      <c r="O144" s="28" t="s">
        <v>163</v>
      </c>
      <c r="P144" s="28" t="s">
        <v>32</v>
      </c>
      <c r="Q144" s="29">
        <v>0.39</v>
      </c>
      <c r="R144" s="64">
        <v>46229</v>
      </c>
      <c r="S144" s="54" t="s">
        <v>41</v>
      </c>
      <c r="T144" s="62" t="s">
        <v>42</v>
      </c>
      <c r="U144" s="16">
        <f t="shared" ca="1" si="47"/>
        <v>1.0438356164383562</v>
      </c>
      <c r="V144" s="11" t="str">
        <v>All</v>
      </c>
      <c r="X144">
        <f t="shared" ca="1" si="70"/>
        <v>0.57637263794975191</v>
      </c>
      <c r="Z144" s="17">
        <f t="shared" ca="1" si="71"/>
        <v>46213</v>
      </c>
      <c r="AG144" s="33">
        <f t="shared" ca="1" si="72"/>
        <v>0.32116203839763702</v>
      </c>
      <c r="AH144">
        <f t="shared" ca="1" si="73"/>
        <v>0.17559847345855167</v>
      </c>
      <c r="AI144">
        <f t="shared" ca="1" si="74"/>
        <v>0.14878844679426792</v>
      </c>
      <c r="AJ144">
        <f t="shared" ca="1" si="75"/>
        <v>0.12915011077532557</v>
      </c>
      <c r="AK144">
        <f t="shared" ca="1" si="76"/>
        <v>0.1079938254354362</v>
      </c>
    </row>
    <row r="145" spans="1:37" ht="17.25" customHeight="1">
      <c r="A145" s="19"/>
      <c r="B145" s="45" t="s">
        <v>162</v>
      </c>
      <c r="C145" s="28" t="s">
        <v>35</v>
      </c>
      <c r="D145" s="28" t="s">
        <v>27</v>
      </c>
      <c r="E145" s="28" t="s">
        <v>155</v>
      </c>
      <c r="F145" s="36" t="s">
        <v>29</v>
      </c>
      <c r="G145" s="28" t="s">
        <v>38</v>
      </c>
      <c r="H145" s="66" t="str">
        <f>HYPERLINK("https://innovativeincomeinvestor.com/security/brookfield-property-partners-lp-6-50-class-a-cumulative-redeemable-perpetual-preferred-units-series-1/","BPYPP")</f>
        <v>BPYPP</v>
      </c>
      <c r="I145" s="47">
        <v>6.5000000000000002E-2</v>
      </c>
      <c r="J145" s="26">
        <f ca="1">IFERROR(__xludf.DUMMYFUNCTION("GOOGLEFINANCE(H145)"),15.03)</f>
        <v>15.03</v>
      </c>
      <c r="K145" s="67">
        <f ca="1">IFERROR(__xludf.DUMMYFUNCTION("googlefinance(H145,""change"")"),0.02)</f>
        <v>0.02</v>
      </c>
      <c r="L145" s="27">
        <f t="shared" ca="1" si="65"/>
        <v>0.1081170991350632</v>
      </c>
      <c r="M145" s="27">
        <f ca="1">(25-J145)/25</f>
        <v>0.39880000000000004</v>
      </c>
      <c r="N145" s="28" t="s">
        <v>31</v>
      </c>
      <c r="O145" s="28" t="s">
        <v>163</v>
      </c>
      <c r="P145" s="28" t="s">
        <v>32</v>
      </c>
      <c r="Q145" s="29">
        <f t="shared" ref="Q145:Q146" si="78">(I145*25)/4</f>
        <v>0.40625</v>
      </c>
      <c r="R145" s="64">
        <v>45382</v>
      </c>
      <c r="S145" s="54" t="s">
        <v>41</v>
      </c>
      <c r="T145" s="62" t="s">
        <v>42</v>
      </c>
      <c r="U145" s="16">
        <f t="shared" ca="1" si="47"/>
        <v>-1.2767123287671234</v>
      </c>
      <c r="V145" s="11" t="str">
        <v>All</v>
      </c>
      <c r="X145">
        <f t="shared" ca="1" si="70"/>
        <v>0.63313181916277683</v>
      </c>
      <c r="Z145" s="17">
        <f t="shared" ca="1" si="71"/>
        <v>46213</v>
      </c>
      <c r="AG145" s="33">
        <f t="shared" ca="1" si="72"/>
        <v>0.35073547375880404</v>
      </c>
      <c r="AH145">
        <f t="shared" ca="1" si="73"/>
        <v>0.1904712160984699</v>
      </c>
      <c r="AI145">
        <f t="shared" ca="1" si="74"/>
        <v>0.16106757485426162</v>
      </c>
      <c r="AJ145">
        <f t="shared" ca="1" si="75"/>
        <v>0.1396017604499305</v>
      </c>
      <c r="AK145">
        <f t="shared" ca="1" si="76"/>
        <v>0.11674501982414084</v>
      </c>
    </row>
    <row r="146" spans="1:37" ht="17.25" customHeight="1">
      <c r="A146" s="19"/>
      <c r="B146" s="45" t="s">
        <v>162</v>
      </c>
      <c r="C146" s="28" t="s">
        <v>35</v>
      </c>
      <c r="D146" s="28" t="s">
        <v>27</v>
      </c>
      <c r="E146" s="28" t="s">
        <v>155</v>
      </c>
      <c r="F146" s="36" t="s">
        <v>29</v>
      </c>
      <c r="G146" s="28" t="s">
        <v>38</v>
      </c>
      <c r="H146" s="23" t="str">
        <f>HYPERLINK("https://innovativeincomeinvestor.com/security/brookfield-property-partners-l-p-6-375-class-a-cumulative-redeemable-perpetual-preferred-units-series-2/","BPYPO")</f>
        <v>BPYPO</v>
      </c>
      <c r="I146" s="47">
        <v>6.3750000000000001E-2</v>
      </c>
      <c r="J146" s="26">
        <f ca="1">IFERROR(__xludf.DUMMYFUNCTION("GOOGLEFINANCE(H146)"),14.79)</f>
        <v>14.79</v>
      </c>
      <c r="K146" s="67">
        <f ca="1">IFERROR(__xludf.DUMMYFUNCTION("googlefinance(H146,""change"")"),-0.46)</f>
        <v>-0.46</v>
      </c>
      <c r="L146" s="27">
        <f t="shared" ca="1" si="65"/>
        <v>0.10775862068965518</v>
      </c>
      <c r="M146" s="27">
        <f t="shared" ref="M146:M147" ca="1" si="79">L146*U146+(25-J146)/25/U146</f>
        <v>-0.61028481700386084</v>
      </c>
      <c r="N146" s="28" t="s">
        <v>31</v>
      </c>
      <c r="O146" s="28" t="s">
        <v>163</v>
      </c>
      <c r="P146" s="28" t="s">
        <v>32</v>
      </c>
      <c r="Q146" s="29">
        <f t="shared" si="78"/>
        <v>0.3984375</v>
      </c>
      <c r="R146" s="64">
        <v>45565</v>
      </c>
      <c r="S146" s="54" t="s">
        <v>41</v>
      </c>
      <c r="T146" s="62" t="s">
        <v>42</v>
      </c>
      <c r="U146" s="16">
        <f t="shared" ca="1" si="47"/>
        <v>-0.77534246575342469</v>
      </c>
      <c r="V146" s="11" t="str">
        <v>All</v>
      </c>
      <c r="X146">
        <f t="shared" ca="1" si="70"/>
        <v>0.65066923369722329</v>
      </c>
      <c r="Z146" s="17">
        <f t="shared" ca="1" si="71"/>
        <v>46213</v>
      </c>
      <c r="AG146" s="33">
        <f t="shared" ca="1" si="72"/>
        <v>0.35848405517115411</v>
      </c>
      <c r="AH146">
        <f t="shared" ca="1" si="73"/>
        <v>0.19291464246673032</v>
      </c>
      <c r="AI146">
        <f t="shared" ca="1" si="74"/>
        <v>0.16255013021299422</v>
      </c>
      <c r="AJ146">
        <f t="shared" ca="1" si="75"/>
        <v>0.14037780734647637</v>
      </c>
      <c r="AK146">
        <f t="shared" ca="1" si="76"/>
        <v>0.11673849124500754</v>
      </c>
    </row>
    <row r="147" spans="1:37" ht="17.25" customHeight="1">
      <c r="A147" s="19"/>
      <c r="B147" s="45" t="s">
        <v>162</v>
      </c>
      <c r="C147" s="28" t="s">
        <v>35</v>
      </c>
      <c r="D147" s="28" t="s">
        <v>27</v>
      </c>
      <c r="E147" s="28" t="s">
        <v>155</v>
      </c>
      <c r="F147" s="36" t="s">
        <v>29</v>
      </c>
      <c r="G147" s="28" t="s">
        <v>38</v>
      </c>
      <c r="H147" s="55" t="str">
        <f>HYPERLINK("https://innovativeincomeinvestor.com/security/brookfield-property-partnerse-5-75-class-a-cumulative-redeemable-perpetual-preferred-units-series-3/","BPYPN")</f>
        <v>BPYPN</v>
      </c>
      <c r="I147" s="47">
        <v>5.7500000000000002E-2</v>
      </c>
      <c r="J147" s="26">
        <f ca="1">IFERROR(__xludf.DUMMYFUNCTION("GOOGLEFINANCE(H147)"),13.48)</f>
        <v>13.48</v>
      </c>
      <c r="K147" s="67">
        <f ca="1">IFERROR(__xludf.DUMMYFUNCTION("googlefinance(H147,""change"")"),-0.32)</f>
        <v>-0.32</v>
      </c>
      <c r="L147" s="27">
        <f t="shared" ca="1" si="65"/>
        <v>0.10682492581602374</v>
      </c>
      <c r="M147" s="27">
        <f t="shared" ca="1" si="79"/>
        <v>-1.6948271007256006</v>
      </c>
      <c r="N147" s="28" t="s">
        <v>31</v>
      </c>
      <c r="O147" s="28" t="s">
        <v>163</v>
      </c>
      <c r="P147" s="28" t="s">
        <v>32</v>
      </c>
      <c r="Q147" s="29">
        <v>0.36</v>
      </c>
      <c r="R147" s="64">
        <v>45747</v>
      </c>
      <c r="S147" s="54" t="s">
        <v>41</v>
      </c>
      <c r="T147" s="62" t="s">
        <v>42</v>
      </c>
      <c r="U147" s="16">
        <f t="shared" ca="1" si="47"/>
        <v>-0.27671232876712326</v>
      </c>
      <c r="V147" s="11" t="str">
        <v>All</v>
      </c>
      <c r="X147">
        <f t="shared" ca="1" si="70"/>
        <v>0.75406850248657331</v>
      </c>
      <c r="Z147" s="17">
        <f t="shared" ca="1" si="71"/>
        <v>46213</v>
      </c>
      <c r="AG147" s="33">
        <f t="shared" ca="1" si="72"/>
        <v>0.4043730581642313</v>
      </c>
      <c r="AH147">
        <f t="shared" ca="1" si="73"/>
        <v>0.20795407561560583</v>
      </c>
      <c r="AI147">
        <f t="shared" ca="1" si="74"/>
        <v>0.17202981973065007</v>
      </c>
      <c r="AJ147">
        <f t="shared" ca="1" si="75"/>
        <v>0.14577653235537308</v>
      </c>
      <c r="AK147">
        <f t="shared" ca="1" si="76"/>
        <v>0.1176285697722009</v>
      </c>
    </row>
    <row r="148" spans="1:37" ht="17.25" customHeight="1">
      <c r="A148" s="19"/>
      <c r="B148" s="45" t="s">
        <v>164</v>
      </c>
      <c r="C148" s="28" t="s">
        <v>35</v>
      </c>
      <c r="D148" s="28" t="s">
        <v>27</v>
      </c>
      <c r="E148" s="28" t="s">
        <v>155</v>
      </c>
      <c r="F148" s="36" t="s">
        <v>29</v>
      </c>
      <c r="G148" s="28" t="s">
        <v>38</v>
      </c>
      <c r="H148" s="23" t="str">
        <f>HYPERLINK("https://innovativeincomeinvestor.com/security/brookfield-renewable-partners-lp-5-25-class-a-preferred-limited-partnership-units-deries-17/","BEP-A")</f>
        <v>BEP-A</v>
      </c>
      <c r="I148" s="47">
        <v>5.2499999999999998E-2</v>
      </c>
      <c r="J148" s="26">
        <f ca="1">IFERROR(__xludf.DUMMYFUNCTION("GOOGLEFINANCE(H148)"),18.14)</f>
        <v>18.14</v>
      </c>
      <c r="K148" s="67">
        <f ca="1">IFERROR(__xludf.DUMMYFUNCTION("googlefinance(H148,""change"")"),0.02)</f>
        <v>0.02</v>
      </c>
      <c r="L148" s="27">
        <f t="shared" ca="1" si="65"/>
        <v>7.2767364939360535E-2</v>
      </c>
      <c r="M148" s="27">
        <f ca="1">(25-J148)/25</f>
        <v>0.27439999999999998</v>
      </c>
      <c r="N148" s="28" t="s">
        <v>31</v>
      </c>
      <c r="O148" s="28" t="s">
        <v>32</v>
      </c>
      <c r="P148" s="28" t="s">
        <v>32</v>
      </c>
      <c r="Q148" s="29">
        <v>0.33</v>
      </c>
      <c r="R148" s="64">
        <v>45747</v>
      </c>
      <c r="S148" s="54" t="s">
        <v>41</v>
      </c>
      <c r="T148" s="62" t="s">
        <v>79</v>
      </c>
      <c r="U148" s="16">
        <f t="shared" ca="1" si="47"/>
        <v>-0.27671232876712326</v>
      </c>
      <c r="V148" s="11" t="str">
        <v>All</v>
      </c>
      <c r="X148">
        <f t="shared" ca="1" si="70"/>
        <v>0.39847503793487071</v>
      </c>
      <c r="Z148" s="17">
        <f t="shared" ca="1" si="71"/>
        <v>46213</v>
      </c>
      <c r="AG148" s="33">
        <f t="shared" ca="1" si="72"/>
        <v>0.22698350627199945</v>
      </c>
      <c r="AH148">
        <f t="shared" ca="1" si="73"/>
        <v>0.12760892438700336</v>
      </c>
      <c r="AI148">
        <f t="shared" ca="1" si="74"/>
        <v>0.10909054688322466</v>
      </c>
      <c r="AJ148">
        <f t="shared" ca="1" si="75"/>
        <v>9.5394494177071451E-2</v>
      </c>
      <c r="AK148">
        <f t="shared" ca="1" si="76"/>
        <v>8.0155505639766575E-2</v>
      </c>
    </row>
    <row r="149" spans="1:37" ht="17.25" customHeight="1">
      <c r="A149" s="19"/>
      <c r="B149" s="45" t="s">
        <v>165</v>
      </c>
      <c r="C149" s="28" t="s">
        <v>27</v>
      </c>
      <c r="D149" s="28" t="s">
        <v>27</v>
      </c>
      <c r="E149" s="28" t="s">
        <v>67</v>
      </c>
      <c r="F149" s="36" t="s">
        <v>29</v>
      </c>
      <c r="G149" s="28" t="s">
        <v>30</v>
      </c>
      <c r="H149" s="51" t="str">
        <f>HYPERLINK("https://innovativeincomeinvestor.com/security/brunswick-corp-6-625-senior-notes-due-2049/","BC-B")</f>
        <v>BC-B</v>
      </c>
      <c r="I149" s="47">
        <v>6.6250000000000003E-2</v>
      </c>
      <c r="J149" s="86" t="s">
        <v>68</v>
      </c>
      <c r="K149" s="86" t="s">
        <v>68</v>
      </c>
      <c r="L149" s="86" t="s">
        <v>68</v>
      </c>
      <c r="M149" s="27" t="e">
        <f t="shared" ref="M149:M151" ca="1" si="80">L149*U149+(25-J149)/25/U149</f>
        <v>#VALUE!</v>
      </c>
      <c r="N149" s="28" t="s">
        <v>39</v>
      </c>
      <c r="O149" s="28" t="s">
        <v>55</v>
      </c>
      <c r="P149" s="28" t="s">
        <v>76</v>
      </c>
      <c r="Q149" s="29">
        <f t="shared" ref="Q149:Q152" si="81">(I149*25)/4</f>
        <v>0.4140625</v>
      </c>
      <c r="R149" s="64">
        <v>45306</v>
      </c>
      <c r="S149" s="61">
        <v>54438</v>
      </c>
      <c r="T149" s="50" t="s">
        <v>60</v>
      </c>
      <c r="U149" s="16">
        <f t="shared" ca="1" si="47"/>
        <v>-1.484931506849315</v>
      </c>
      <c r="V149" s="11" t="str">
        <v>All</v>
      </c>
      <c r="X149" t="e">
        <f t="shared" ca="1" si="70"/>
        <v>#VALUE!</v>
      </c>
      <c r="Z149" s="17">
        <f t="shared" ca="1" si="71"/>
        <v>46213</v>
      </c>
      <c r="AG149" s="33" t="e">
        <f t="shared" ca="1" si="72"/>
        <v>#VALUE!</v>
      </c>
      <c r="AH149" t="e">
        <f t="shared" ca="1" si="73"/>
        <v>#VALUE!</v>
      </c>
      <c r="AI149" t="e">
        <f t="shared" ca="1" si="74"/>
        <v>#VALUE!</v>
      </c>
      <c r="AJ149" t="e">
        <f t="shared" ca="1" si="75"/>
        <v>#VALUE!</v>
      </c>
      <c r="AK149" t="e">
        <f t="shared" ca="1" si="76"/>
        <v>#VALUE!</v>
      </c>
    </row>
    <row r="150" spans="1:37" ht="17.25" customHeight="1">
      <c r="A150" s="19"/>
      <c r="B150" s="45" t="s">
        <v>165</v>
      </c>
      <c r="C150" s="28" t="s">
        <v>27</v>
      </c>
      <c r="D150" s="28" t="s">
        <v>27</v>
      </c>
      <c r="E150" s="28" t="s">
        <v>67</v>
      </c>
      <c r="F150" s="36" t="s">
        <v>29</v>
      </c>
      <c r="G150" s="28" t="s">
        <v>30</v>
      </c>
      <c r="H150" s="51" t="str">
        <f>HYPERLINK("https://innovativeincomeinvestor.com/security/brunswick-corporation-50-senior-notes-due-2048/","BC-A")</f>
        <v>BC-A</v>
      </c>
      <c r="I150" s="47">
        <v>6.5000000000000002E-2</v>
      </c>
      <c r="J150" s="26">
        <f ca="1">IFERROR(__xludf.DUMMYFUNCTION("GOOGLEFINANCE(H150)"),24.21)</f>
        <v>24.21</v>
      </c>
      <c r="K150" s="67">
        <f ca="1">IFERROR(__xludf.DUMMYFUNCTION("googlefinance(H150,""change"")"),-0.03)</f>
        <v>-0.03</v>
      </c>
      <c r="L150" s="27">
        <f t="shared" ref="L150:L159" ca="1" si="82">(Q150*4)/J150</f>
        <v>6.7121024370094998E-2</v>
      </c>
      <c r="M150" s="27">
        <f t="shared" ca="1" si="80"/>
        <v>-0.13478072888684975</v>
      </c>
      <c r="N150" s="28" t="s">
        <v>39</v>
      </c>
      <c r="O150" s="28" t="s">
        <v>55</v>
      </c>
      <c r="P150" s="28" t="s">
        <v>76</v>
      </c>
      <c r="Q150" s="29">
        <f t="shared" si="81"/>
        <v>0.40625</v>
      </c>
      <c r="R150" s="64">
        <v>45214</v>
      </c>
      <c r="S150" s="61">
        <v>54346</v>
      </c>
      <c r="T150" s="50" t="s">
        <v>60</v>
      </c>
      <c r="U150" s="16">
        <f t="shared" ca="1" si="47"/>
        <v>-1.736986301369863</v>
      </c>
      <c r="V150" s="11" t="str">
        <v>All</v>
      </c>
      <c r="X150">
        <f t="shared" ca="1" si="70"/>
        <v>9.8570458506365366E-2</v>
      </c>
      <c r="Z150" s="17">
        <f t="shared" ca="1" si="71"/>
        <v>46213</v>
      </c>
      <c r="AG150" s="33">
        <f t="shared" ca="1" si="72"/>
        <v>8.2297580764680842E-2</v>
      </c>
      <c r="AH150">
        <f t="shared" ca="1" si="73"/>
        <v>7.2595937247447784E-2</v>
      </c>
      <c r="AI150">
        <f t="shared" ca="1" si="74"/>
        <v>7.0766330615398942E-2</v>
      </c>
      <c r="AJ150">
        <f t="shared" ca="1" si="75"/>
        <v>6.9410096530038129E-2</v>
      </c>
      <c r="AK150">
        <f t="shared" ca="1" si="76"/>
        <v>6.7900297213614111E-2</v>
      </c>
    </row>
    <row r="151" spans="1:37" ht="17.25" customHeight="1">
      <c r="A151" s="19"/>
      <c r="B151" s="45" t="s">
        <v>165</v>
      </c>
      <c r="C151" s="28" t="s">
        <v>27</v>
      </c>
      <c r="D151" s="28" t="s">
        <v>27</v>
      </c>
      <c r="E151" s="28" t="s">
        <v>67</v>
      </c>
      <c r="F151" s="36" t="s">
        <v>29</v>
      </c>
      <c r="G151" s="28" t="s">
        <v>30</v>
      </c>
      <c r="H151" s="66" t="str">
        <f>HYPERLINK("https://innovativeincomeinvestor.com/security/brunswick-corporation-6-375-notes-due-2049/","BC-C")</f>
        <v>BC-C</v>
      </c>
      <c r="I151" s="47">
        <v>6.3750000000000001E-2</v>
      </c>
      <c r="J151" s="128">
        <f ca="1">IFERROR(__xludf.DUMMYFUNCTION("GOOGLEFINANCE(H151)"),24.15)</f>
        <v>24.15</v>
      </c>
      <c r="K151" s="67">
        <f ca="1">IFERROR(__xludf.DUMMYFUNCTION("googlefinance(H151,""change"")"),-0.14)</f>
        <v>-0.14000000000000001</v>
      </c>
      <c r="L151" s="27">
        <f t="shared" ca="1" si="82"/>
        <v>6.5993788819875776E-2</v>
      </c>
      <c r="M151" s="27">
        <f t="shared" ca="1" si="80"/>
        <v>-0.10905964000699547</v>
      </c>
      <c r="N151" s="28" t="s">
        <v>39</v>
      </c>
      <c r="O151" s="28" t="s">
        <v>55</v>
      </c>
      <c r="P151" s="28" t="s">
        <v>76</v>
      </c>
      <c r="Q151" s="29">
        <f t="shared" si="81"/>
        <v>0.3984375</v>
      </c>
      <c r="R151" s="82">
        <v>45397</v>
      </c>
      <c r="S151" s="61">
        <v>54528</v>
      </c>
      <c r="T151" s="50" t="s">
        <v>60</v>
      </c>
      <c r="U151" s="16">
        <f t="shared" ca="1" si="47"/>
        <v>-1.2356164383561643</v>
      </c>
      <c r="V151" s="12" t="str">
        <v>All</v>
      </c>
      <c r="X151">
        <f t="shared" ca="1" si="70"/>
        <v>9.9899033214828931E-2</v>
      </c>
      <c r="Z151" s="17">
        <f t="shared" ca="1" si="71"/>
        <v>46213</v>
      </c>
      <c r="AG151" s="33">
        <f t="shared" ca="1" si="72"/>
        <v>8.2362623807434851E-2</v>
      </c>
      <c r="AH151">
        <f t="shared" ca="1" si="73"/>
        <v>7.1909250071658576E-2</v>
      </c>
      <c r="AI151">
        <f t="shared" ca="1" si="74"/>
        <v>6.9937486995961501E-2</v>
      </c>
      <c r="AJ151">
        <f t="shared" ca="1" si="75"/>
        <v>6.8475251729875619E-2</v>
      </c>
      <c r="AK151">
        <f t="shared" ca="1" si="76"/>
        <v>6.6844978240936215E-2</v>
      </c>
    </row>
    <row r="152" spans="1:37" ht="17.25" customHeight="1">
      <c r="A152" s="19"/>
      <c r="B152" s="45" t="s">
        <v>166</v>
      </c>
      <c r="C152" s="28" t="s">
        <v>27</v>
      </c>
      <c r="D152" s="28" t="s">
        <v>35</v>
      </c>
      <c r="E152" s="28" t="s">
        <v>110</v>
      </c>
      <c r="F152" s="36" t="s">
        <v>29</v>
      </c>
      <c r="G152" s="28" t="s">
        <v>38</v>
      </c>
      <c r="H152" s="55" t="str">
        <f>HYPERLINK("https://innovativeincomeinvestor.com/security/bancorpsouth-bank-6-50-series-a-non-cumulative-perpetual-preferred-stock/","CADE-A")</f>
        <v>CADE-A</v>
      </c>
      <c r="I152" s="47">
        <v>5.5E-2</v>
      </c>
      <c r="J152" s="56">
        <f ca="1">IFERROR(__xludf.DUMMYFUNCTION("importxml(""https://bigcharts.marketwatch.com/quickchart/quickchart.asp?symb=CADEPRA&amp;insttype=Stock"",""/html/body/div[1]/div[2]/table/tbody/tr/td[1]/table/tbody/tr[3]/td[1]/div"")"),20.39)</f>
        <v>20.39</v>
      </c>
      <c r="K152" s="67">
        <f ca="1">IFERROR(__xludf.DUMMYFUNCTION("googlefinance(H152,""change"")"),0)</f>
        <v>0</v>
      </c>
      <c r="L152" s="27">
        <f t="shared" ca="1" si="82"/>
        <v>6.7435017165277097E-2</v>
      </c>
      <c r="M152" s="27">
        <f ca="1">(25-J152)/25</f>
        <v>0.18439999999999998</v>
      </c>
      <c r="N152" s="28" t="s">
        <v>31</v>
      </c>
      <c r="O152" s="28" t="s">
        <v>30</v>
      </c>
      <c r="P152" s="28" t="s">
        <v>83</v>
      </c>
      <c r="Q152" s="29">
        <f t="shared" si="81"/>
        <v>0.34375</v>
      </c>
      <c r="R152" s="53">
        <v>45616</v>
      </c>
      <c r="S152" s="54" t="s">
        <v>41</v>
      </c>
      <c r="T152" s="62" t="s">
        <v>167</v>
      </c>
      <c r="U152" s="16">
        <f t="shared" ca="1" si="47"/>
        <v>-0.63561643835616444</v>
      </c>
      <c r="V152" s="11" t="str">
        <v>All</v>
      </c>
      <c r="X152">
        <f t="shared" ca="1" si="70"/>
        <v>0.27174683406830996</v>
      </c>
      <c r="Z152" s="17">
        <f t="shared" ca="1" si="71"/>
        <v>46213</v>
      </c>
      <c r="AG152" s="33">
        <f t="shared" ca="1" si="72"/>
        <v>0.16513569154830807</v>
      </c>
      <c r="AH152">
        <f t="shared" ca="1" si="73"/>
        <v>0.1026290058969298</v>
      </c>
      <c r="AI152">
        <f t="shared" ca="1" si="74"/>
        <v>9.0916906588735677E-2</v>
      </c>
      <c r="AJ152">
        <f t="shared" ca="1" si="75"/>
        <v>8.2238170869284574E-2</v>
      </c>
      <c r="AK152">
        <f t="shared" ca="1" si="76"/>
        <v>7.2547465412743067E-2</v>
      </c>
    </row>
    <row r="153" spans="1:37" ht="17.25" customHeight="1">
      <c r="A153" s="19"/>
      <c r="B153" s="45" t="s">
        <v>168</v>
      </c>
      <c r="C153" s="28" t="s">
        <v>35</v>
      </c>
      <c r="D153" s="28" t="s">
        <v>35</v>
      </c>
      <c r="E153" s="36" t="s">
        <v>67</v>
      </c>
      <c r="F153" s="28" t="s">
        <v>29</v>
      </c>
      <c r="G153" s="28" t="s">
        <v>38</v>
      </c>
      <c r="H153" s="55" t="str">
        <f>HYPERLINK("https://innovativeincomeinvestor.com/security/cadiz-inc-8-875-series-a-cumulative-perpetual-preferred-stock/","CDZIP")</f>
        <v>CDZIP</v>
      </c>
      <c r="I153" s="85">
        <v>8.8749999999999996E-2</v>
      </c>
      <c r="J153" s="65">
        <f ca="1">IFERROR(__xludf.DUMMYFUNCTION("GoogleFinance(H153)"),17.12)</f>
        <v>17.12</v>
      </c>
      <c r="K153" s="48">
        <f ca="1">IFERROR(__xludf.DUMMYFUNCTION("googlefinance(H153,""change"")"),-0.01)</f>
        <v>-0.01</v>
      </c>
      <c r="L153" s="27">
        <f t="shared" ca="1" si="82"/>
        <v>0.12850467289719628</v>
      </c>
      <c r="M153" s="27">
        <f t="array" aca="1" ref="M153" ca="1">L153*U153+(25-J153)/25/U153</f>
        <v>0.44795143744349614</v>
      </c>
      <c r="N153" s="28" t="s">
        <v>31</v>
      </c>
      <c r="O153" s="28" t="s">
        <v>32</v>
      </c>
      <c r="P153" s="28" t="s">
        <v>32</v>
      </c>
      <c r="Q153" s="29">
        <v>0.55000000000000004</v>
      </c>
      <c r="R153" s="64">
        <v>46205</v>
      </c>
      <c r="S153" s="54" t="s">
        <v>41</v>
      </c>
      <c r="T153" s="50" t="s">
        <v>60</v>
      </c>
      <c r="U153" s="16">
        <f t="shared" ca="1" si="47"/>
        <v>0.9780821917808219</v>
      </c>
      <c r="V153" s="11" t="str">
        <v>All</v>
      </c>
      <c r="X153">
        <f t="shared" ca="1" si="70"/>
        <v>0.5105432849806717</v>
      </c>
      <c r="Z153" s="17">
        <f t="shared" ca="1" si="71"/>
        <v>46213</v>
      </c>
      <c r="AG153" s="33">
        <f t="shared" ca="1" si="72"/>
        <v>0.30504485147063498</v>
      </c>
      <c r="AH153">
        <f t="shared" ca="1" si="73"/>
        <v>0.18723146508675217</v>
      </c>
      <c r="AI153">
        <f t="shared" ca="1" si="74"/>
        <v>0.16569094276960283</v>
      </c>
      <c r="AJ153">
        <f t="shared" ca="1" si="75"/>
        <v>0.15014742089747127</v>
      </c>
      <c r="AK153">
        <f t="shared" ca="1" si="76"/>
        <v>0.13434303328309813</v>
      </c>
    </row>
    <row r="154" spans="1:37" ht="17.25" customHeight="1">
      <c r="A154" s="19"/>
      <c r="B154" s="45" t="s">
        <v>169</v>
      </c>
      <c r="C154" s="28" t="s">
        <v>27</v>
      </c>
      <c r="D154" s="28" t="s">
        <v>35</v>
      </c>
      <c r="E154" s="36" t="s">
        <v>110</v>
      </c>
      <c r="F154" s="28" t="s">
        <v>29</v>
      </c>
      <c r="G154" s="28" t="s">
        <v>38</v>
      </c>
      <c r="H154" s="46" t="str">
        <f>HYPERLINK("https://innovativeincomeinvestor.com/security/capital-one-financial-corporation-5-00-fixed-rate-non-cumulative-perpetual-preferred-stock-series-i/","COF-I")</f>
        <v>COF-I</v>
      </c>
      <c r="I154" s="85">
        <v>0.05</v>
      </c>
      <c r="J154" s="65">
        <f ca="1">IFERROR(__xludf.DUMMYFUNCTION("GoogleFinance(H154)"),19.41)</f>
        <v>19.41</v>
      </c>
      <c r="K154" s="48">
        <f ca="1">IFERROR(__xludf.DUMMYFUNCTION("googlefinance(H154,""change"")"),-0.16)</f>
        <v>-0.16</v>
      </c>
      <c r="L154" s="27">
        <f t="shared" ca="1" si="82"/>
        <v>6.4399793920659448E-2</v>
      </c>
      <c r="M154" s="27">
        <f t="shared" ref="M154:M155" ca="1" si="83">(25-J154)/25</f>
        <v>0.22359999999999999</v>
      </c>
      <c r="N154" s="28" t="s">
        <v>39</v>
      </c>
      <c r="O154" s="28" t="s">
        <v>30</v>
      </c>
      <c r="P154" s="28" t="s">
        <v>64</v>
      </c>
      <c r="Q154" s="29">
        <f t="shared" ref="Q154:Q155" si="84">(I154*25)/4</f>
        <v>0.3125</v>
      </c>
      <c r="R154" s="61">
        <v>45627</v>
      </c>
      <c r="S154" s="36" t="s">
        <v>41</v>
      </c>
      <c r="T154" s="62" t="s">
        <v>81</v>
      </c>
      <c r="U154" s="16">
        <f t="shared" ca="1" si="47"/>
        <v>-0.60547945205479448</v>
      </c>
      <c r="V154" s="11" t="str">
        <v>All</v>
      </c>
      <c r="X154">
        <f t="shared" ca="1" si="70"/>
        <v>0.32004468180780488</v>
      </c>
      <c r="Z154" s="17">
        <f t="shared" ca="1" si="71"/>
        <v>46213</v>
      </c>
      <c r="AG154" s="33">
        <f t="shared" ca="1" si="72"/>
        <v>0.18650157161566816</v>
      </c>
      <c r="AH154">
        <f t="shared" ca="1" si="73"/>
        <v>0.10856403975450055</v>
      </c>
      <c r="AI154">
        <f t="shared" ca="1" si="74"/>
        <v>9.3978293983050951E-2</v>
      </c>
      <c r="AJ154">
        <f t="shared" ca="1" si="75"/>
        <v>8.3161873253321819E-2</v>
      </c>
      <c r="AK154">
        <f t="shared" ca="1" si="76"/>
        <v>7.1031348879256218E-2</v>
      </c>
    </row>
    <row r="155" spans="1:37" ht="17.25" customHeight="1">
      <c r="A155" s="19"/>
      <c r="B155" s="45" t="s">
        <v>169</v>
      </c>
      <c r="C155" s="28" t="s">
        <v>27</v>
      </c>
      <c r="D155" s="36" t="s">
        <v>35</v>
      </c>
      <c r="E155" s="36" t="s">
        <v>110</v>
      </c>
      <c r="F155" s="28" t="s">
        <v>29</v>
      </c>
      <c r="G155" s="36" t="s">
        <v>38</v>
      </c>
      <c r="H155" s="46" t="str">
        <f>HYPERLINK("https://innovativeincomeinvestor.com/security/capital-one-financial-4-80-fixed-rate-non-cumulative-perpetual-preferred-stock-series-j/","COF-J")</f>
        <v>COF-J</v>
      </c>
      <c r="I155" s="85">
        <v>4.8000000000000001E-2</v>
      </c>
      <c r="J155" s="65">
        <f ca="1">IFERROR(__xludf.DUMMYFUNCTION("GoogleFinance(H155)"),18.42)</f>
        <v>18.420000000000002</v>
      </c>
      <c r="K155" s="48">
        <f ca="1">IFERROR(__xludf.DUMMYFUNCTION("googlefinance(H155,""change"")"),-0.19)</f>
        <v>-0.19</v>
      </c>
      <c r="L155" s="27">
        <f t="shared" ca="1" si="82"/>
        <v>6.5146579804560248E-2</v>
      </c>
      <c r="M155" s="27">
        <f t="shared" ca="1" si="83"/>
        <v>0.26319999999999993</v>
      </c>
      <c r="N155" s="28" t="s">
        <v>39</v>
      </c>
      <c r="O155" s="28" t="s">
        <v>30</v>
      </c>
      <c r="P155" s="28" t="s">
        <v>64</v>
      </c>
      <c r="Q155" s="29">
        <f t="shared" si="84"/>
        <v>0.3</v>
      </c>
      <c r="R155" s="61">
        <v>45809</v>
      </c>
      <c r="S155" s="36" t="s">
        <v>41</v>
      </c>
      <c r="T155" s="62" t="s">
        <v>81</v>
      </c>
      <c r="U155" s="16">
        <f t="shared" ca="1" si="47"/>
        <v>-0.10684931506849316</v>
      </c>
      <c r="V155" s="11" t="str">
        <v>All</v>
      </c>
      <c r="X155">
        <f t="shared" ca="1" si="70"/>
        <v>0.37578575311942153</v>
      </c>
      <c r="Z155" s="17">
        <f t="shared" ca="1" si="71"/>
        <v>46213</v>
      </c>
      <c r="AG155" s="33">
        <f t="shared" ca="1" si="72"/>
        <v>0.21304532504636972</v>
      </c>
      <c r="AH155">
        <f t="shared" ca="1" si="73"/>
        <v>0.11855727946670798</v>
      </c>
      <c r="AI155">
        <f t="shared" ca="1" si="74"/>
        <v>0.10091250143892601</v>
      </c>
      <c r="AJ155">
        <f t="shared" ca="1" si="75"/>
        <v>8.78333567591989E-2</v>
      </c>
      <c r="AK155">
        <f t="shared" ca="1" si="76"/>
        <v>7.3165094132224384E-2</v>
      </c>
    </row>
    <row r="156" spans="1:37" ht="17.25" customHeight="1">
      <c r="A156" s="19"/>
      <c r="B156" s="45" t="s">
        <v>169</v>
      </c>
      <c r="C156" s="28" t="s">
        <v>27</v>
      </c>
      <c r="D156" s="36" t="s">
        <v>35</v>
      </c>
      <c r="E156" s="36" t="s">
        <v>110</v>
      </c>
      <c r="F156" s="28" t="s">
        <v>29</v>
      </c>
      <c r="G156" s="36" t="s">
        <v>38</v>
      </c>
      <c r="H156" s="83" t="str">
        <f>HYPERLINK("https://innovativeincomeinvestor.com/security/capital-one-financial-4-75-fixed-rate-non-cumulative-perpetual-preferred-stock-series-k/","COF-K")</f>
        <v>COF-K</v>
      </c>
      <c r="I156" s="85">
        <v>4.6249999999999999E-2</v>
      </c>
      <c r="J156" s="65">
        <f ca="1">IFERROR(__xludf.DUMMYFUNCTION("GoogleFinance(H156)"),17.92)</f>
        <v>17.920000000000002</v>
      </c>
      <c r="K156" s="48">
        <f ca="1">IFERROR(__xludf.DUMMYFUNCTION("googlefinance(H156,""change"")"),-0.11)</f>
        <v>-0.11</v>
      </c>
      <c r="L156" s="27">
        <f t="shared" ca="1" si="82"/>
        <v>6.4732142857142849E-2</v>
      </c>
      <c r="M156" s="27">
        <f t="shared" ref="M156:M159" ca="1" si="85">L156*U156+(25-J156)/25/U156</f>
        <v>0.74337149380300049</v>
      </c>
      <c r="N156" s="28" t="s">
        <v>39</v>
      </c>
      <c r="O156" s="28" t="s">
        <v>30</v>
      </c>
      <c r="P156" s="28" t="s">
        <v>64</v>
      </c>
      <c r="Q156" s="29">
        <v>0.28999999999999998</v>
      </c>
      <c r="R156" s="64">
        <v>45992</v>
      </c>
      <c r="S156" s="54" t="s">
        <v>41</v>
      </c>
      <c r="T156" s="62" t="s">
        <v>81</v>
      </c>
      <c r="U156" s="16">
        <f t="shared" ca="1" si="47"/>
        <v>0.39452054794520547</v>
      </c>
      <c r="V156" s="11" t="str">
        <v>All</v>
      </c>
      <c r="X156">
        <f t="shared" ca="1" si="70"/>
        <v>0.40448263411086832</v>
      </c>
      <c r="Z156" s="17">
        <f t="shared" ca="1" si="71"/>
        <v>46213</v>
      </c>
      <c r="AG156" s="33">
        <f t="shared" ca="1" si="72"/>
        <v>0.22618616632480934</v>
      </c>
      <c r="AH156">
        <f t="shared" ca="1" si="73"/>
        <v>0.12294097140503032</v>
      </c>
      <c r="AI156">
        <f t="shared" ca="1" si="74"/>
        <v>0.10367907624667999</v>
      </c>
      <c r="AJ156">
        <f t="shared" ca="1" si="75"/>
        <v>8.9400510401978592E-2</v>
      </c>
      <c r="AK156">
        <f t="shared" ca="1" si="76"/>
        <v>7.336978672366383E-2</v>
      </c>
    </row>
    <row r="157" spans="1:37" ht="17.25" customHeight="1">
      <c r="A157" s="19"/>
      <c r="B157" s="45" t="s">
        <v>169</v>
      </c>
      <c r="C157" s="28" t="s">
        <v>27</v>
      </c>
      <c r="D157" s="28" t="s">
        <v>35</v>
      </c>
      <c r="E157" s="28" t="s">
        <v>110</v>
      </c>
      <c r="F157" s="28" t="s">
        <v>29</v>
      </c>
      <c r="G157" s="28" t="s">
        <v>38</v>
      </c>
      <c r="H157" s="46" t="str">
        <f>HYPERLINK("https://innovativeincomeinvestor.com/security/capital-one-financial-4-375-non-cumulative-perpetual-preferred-stock-series-l/","COF-L")</f>
        <v>COF-L</v>
      </c>
      <c r="I157" s="47">
        <v>4.3749999999999997E-2</v>
      </c>
      <c r="J157" s="65">
        <f ca="1">IFERROR(__xludf.DUMMYFUNCTION("GoogleFinance(H157)"),16.93)</f>
        <v>16.93</v>
      </c>
      <c r="K157" s="48">
        <f ca="1">IFERROR(__xludf.DUMMYFUNCTION("googlefinance(H157,""change"")"),-0.21)</f>
        <v>-0.21</v>
      </c>
      <c r="L157" s="27">
        <f t="shared" ca="1" si="82"/>
        <v>6.3792085056113418E-2</v>
      </c>
      <c r="M157" s="27">
        <f t="shared" ca="1" si="85"/>
        <v>0.35492585874906185</v>
      </c>
      <c r="N157" s="28" t="s">
        <v>39</v>
      </c>
      <c r="O157" s="28" t="s">
        <v>30</v>
      </c>
      <c r="P157" s="28" t="s">
        <v>64</v>
      </c>
      <c r="Q157" s="29">
        <v>0.27</v>
      </c>
      <c r="R157" s="64">
        <v>46266</v>
      </c>
      <c r="S157" s="54" t="s">
        <v>41</v>
      </c>
      <c r="T157" s="62" t="s">
        <v>81</v>
      </c>
      <c r="U157" s="16">
        <f t="shared" ca="1" si="47"/>
        <v>1.1452054794520548</v>
      </c>
      <c r="V157" s="11" t="str">
        <v>All</v>
      </c>
      <c r="X157">
        <f t="shared" ca="1" si="70"/>
        <v>0.46564977133039026</v>
      </c>
      <c r="Z157" s="17">
        <f t="shared" ca="1" si="71"/>
        <v>46213</v>
      </c>
      <c r="AG157" s="33">
        <f t="shared" ca="1" si="72"/>
        <v>0.25471780813209122</v>
      </c>
      <c r="AH157">
        <f t="shared" ca="1" si="73"/>
        <v>0.13325405075224198</v>
      </c>
      <c r="AI157">
        <f t="shared" ca="1" si="74"/>
        <v>0.11064385320736717</v>
      </c>
      <c r="AJ157">
        <f t="shared" ca="1" si="75"/>
        <v>9.3888291912522653E-2</v>
      </c>
      <c r="AK157">
        <f t="shared" ca="1" si="76"/>
        <v>7.5063145852867677E-2</v>
      </c>
    </row>
    <row r="158" spans="1:37" ht="17.25" customHeight="1">
      <c r="A158" s="19"/>
      <c r="B158" s="45" t="s">
        <v>169</v>
      </c>
      <c r="C158" s="28" t="s">
        <v>27</v>
      </c>
      <c r="D158" s="28" t="s">
        <v>35</v>
      </c>
      <c r="E158" s="28" t="s">
        <v>110</v>
      </c>
      <c r="F158" s="28" t="s">
        <v>29</v>
      </c>
      <c r="G158" s="28" t="s">
        <v>38</v>
      </c>
      <c r="H158" s="55" t="str">
        <f>HYPERLINK("https://innovativeincomeinvestor.com/security/capital-one-financial-4-25-non-cumulative-perpetual-preferred-stock-series-n/","COF-N")</f>
        <v>COF-N</v>
      </c>
      <c r="I158" s="47">
        <v>4.2500000000000003E-2</v>
      </c>
      <c r="J158" s="65">
        <f ca="1">IFERROR(__xludf.DUMMYFUNCTION("GoogleFinance(H158)"),16.89)</f>
        <v>16.89</v>
      </c>
      <c r="K158" s="48">
        <f ca="1">IFERROR(__xludf.DUMMYFUNCTION("googlefinance(H158,""change"")"),-0.11)</f>
        <v>-0.11</v>
      </c>
      <c r="L158" s="27">
        <f t="shared" ca="1" si="82"/>
        <v>6.3943161634103018E-2</v>
      </c>
      <c r="M158" s="27">
        <f t="shared" ca="1" si="85"/>
        <v>0.35649600166059525</v>
      </c>
      <c r="N158" s="28" t="s">
        <v>39</v>
      </c>
      <c r="O158" s="28" t="s">
        <v>30</v>
      </c>
      <c r="P158" s="28" t="s">
        <v>64</v>
      </c>
      <c r="Q158" s="29">
        <v>0.27</v>
      </c>
      <c r="R158" s="64">
        <v>46266</v>
      </c>
      <c r="S158" s="28" t="s">
        <v>41</v>
      </c>
      <c r="T158" s="62" t="s">
        <v>81</v>
      </c>
      <c r="U158" s="16">
        <f t="shared" ca="1" si="47"/>
        <v>1.1452054794520548</v>
      </c>
      <c r="V158" s="11" t="str">
        <v>All</v>
      </c>
      <c r="X158">
        <f t="shared" ca="1" si="70"/>
        <v>0.46673429722804383</v>
      </c>
      <c r="Z158" s="17">
        <f t="shared" ca="1" si="71"/>
        <v>46213</v>
      </c>
      <c r="AG158" s="33">
        <f t="shared" ca="1" si="72"/>
        <v>0.25445979445873634</v>
      </c>
      <c r="AH158">
        <f t="shared" ca="1" si="73"/>
        <v>0.13224012252698072</v>
      </c>
      <c r="AI158">
        <f t="shared" ca="1" si="74"/>
        <v>0.10948430967391305</v>
      </c>
      <c r="AJ158">
        <f t="shared" ca="1" si="75"/>
        <v>9.261352526542975E-2</v>
      </c>
      <c r="AK158">
        <f t="shared" ca="1" si="76"/>
        <v>7.3626168798050756E-2</v>
      </c>
    </row>
    <row r="159" spans="1:37" ht="17.25" customHeight="1">
      <c r="A159" s="19"/>
      <c r="B159" s="45" t="s">
        <v>170</v>
      </c>
      <c r="C159" s="28" t="s">
        <v>27</v>
      </c>
      <c r="D159" s="28" t="s">
        <v>27</v>
      </c>
      <c r="E159" s="28" t="s">
        <v>171</v>
      </c>
      <c r="F159" s="28" t="s">
        <v>29</v>
      </c>
      <c r="G159" s="28" t="s">
        <v>30</v>
      </c>
      <c r="H159" s="129" t="str">
        <f>HYPERLINK("https://innovativeincomeinvestor.com/security/capital-southwest-corporation-7-75-notes-due-2028/","CSWCZ")</f>
        <v>CSWCZ</v>
      </c>
      <c r="I159" s="47">
        <v>7.7499999999999999E-2</v>
      </c>
      <c r="J159" s="26">
        <f ca="1">IFERROR(__xludf.DUMMYFUNCTION("GOOGLEFINANCE(H159)"),25.61)</f>
        <v>25.61</v>
      </c>
      <c r="K159" s="67">
        <f ca="1">IFERROR(__xludf.DUMMYFUNCTION("googlefinance(H159,""change"")"),0.06)</f>
        <v>0.06</v>
      </c>
      <c r="L159" s="27">
        <f t="shared" ca="1" si="82"/>
        <v>7.4970714564623189E-2</v>
      </c>
      <c r="M159" s="27">
        <f t="shared" ca="1" si="85"/>
        <v>-0.4002993990225055</v>
      </c>
      <c r="N159" s="28" t="s">
        <v>31</v>
      </c>
      <c r="O159" s="28" t="s">
        <v>32</v>
      </c>
      <c r="P159" s="28" t="s">
        <v>32</v>
      </c>
      <c r="Q159" s="29">
        <v>0.48</v>
      </c>
      <c r="R159" s="64">
        <v>45870</v>
      </c>
      <c r="S159" s="82">
        <v>46966</v>
      </c>
      <c r="T159" s="62" t="s">
        <v>101</v>
      </c>
      <c r="U159" s="16">
        <f t="shared" ca="1" si="47"/>
        <v>6.0273972602739728E-2</v>
      </c>
      <c r="V159" s="11" t="str">
        <v>All</v>
      </c>
      <c r="X159">
        <f t="shared" ca="1" si="70"/>
        <v>5.2297286806229575E-2</v>
      </c>
      <c r="Z159" s="17">
        <f t="shared" ca="1" si="71"/>
        <v>46213</v>
      </c>
      <c r="AG159" s="33">
        <f t="shared" ca="1" si="72"/>
        <v>6.4399649372176404E-2</v>
      </c>
      <c r="AH159">
        <f t="shared" ca="1" si="73"/>
        <v>7.1647545063487153E-2</v>
      </c>
      <c r="AI159">
        <f t="shared" ca="1" si="74"/>
        <v>7.3013497286225637E-2</v>
      </c>
      <c r="AJ159">
        <f t="shared" ca="1" si="75"/>
        <v>7.4023133048452039E-2</v>
      </c>
      <c r="AK159">
        <f t="shared" ca="1" si="76"/>
        <v>7.5130911536582315E-2</v>
      </c>
    </row>
    <row r="160" spans="1:37" ht="17.25" customHeight="1">
      <c r="A160" s="68"/>
      <c r="B160" s="70" t="s">
        <v>172</v>
      </c>
      <c r="C160" s="71" t="s">
        <v>35</v>
      </c>
      <c r="D160" s="71" t="s">
        <v>35</v>
      </c>
      <c r="E160" s="71" t="s">
        <v>67</v>
      </c>
      <c r="F160" s="71" t="s">
        <v>29</v>
      </c>
      <c r="G160" s="71" t="s">
        <v>38</v>
      </c>
      <c r="H160" s="130" t="str">
        <f>HYPERLINK("https://innovativeincomeinvestor.com/security/medical-transcription-billing-corp-11-series-a-cumualtive-redeemable-perpetual-preferred-stock/","CCLDP")</f>
        <v>CCLDP</v>
      </c>
      <c r="I160" s="73">
        <v>0.11</v>
      </c>
      <c r="J160" s="67" t="s">
        <v>173</v>
      </c>
      <c r="K160" s="67" t="s">
        <v>173</v>
      </c>
      <c r="L160" s="67" t="s">
        <v>173</v>
      </c>
      <c r="M160" s="95" t="s">
        <v>124</v>
      </c>
      <c r="N160" s="131" t="s">
        <v>31</v>
      </c>
      <c r="O160" s="131" t="s">
        <v>32</v>
      </c>
      <c r="P160" s="131" t="s">
        <v>32</v>
      </c>
      <c r="Q160" s="29">
        <f t="shared" ref="Q160:Q161" si="86">(I160*25)/12</f>
        <v>0.22916666666666666</v>
      </c>
      <c r="R160" s="132">
        <v>44139</v>
      </c>
      <c r="S160" s="131" t="s">
        <v>41</v>
      </c>
      <c r="T160" s="133" t="s">
        <v>174</v>
      </c>
      <c r="U160" s="16">
        <f t="shared" ca="1" si="47"/>
        <v>-4.6821917808219178</v>
      </c>
      <c r="V160" s="11" t="str">
        <v>All</v>
      </c>
      <c r="X160" t="e">
        <f t="shared" ca="1" si="70"/>
        <v>#VALUE!</v>
      </c>
      <c r="Z160" s="17">
        <f t="shared" ca="1" si="71"/>
        <v>46213</v>
      </c>
      <c r="AG160" s="33" t="e">
        <f t="shared" ca="1" si="72"/>
        <v>#VALUE!</v>
      </c>
      <c r="AH160" t="e">
        <f t="shared" ca="1" si="73"/>
        <v>#VALUE!</v>
      </c>
      <c r="AI160" t="e">
        <f t="shared" ca="1" si="74"/>
        <v>#VALUE!</v>
      </c>
      <c r="AJ160" t="e">
        <f t="shared" ca="1" si="75"/>
        <v>#VALUE!</v>
      </c>
      <c r="AK160" t="e">
        <f t="shared" ca="1" si="76"/>
        <v>#VALUE!</v>
      </c>
    </row>
    <row r="161" spans="1:37" ht="17.25" customHeight="1">
      <c r="A161" s="19"/>
      <c r="B161" s="100" t="s">
        <v>172</v>
      </c>
      <c r="C161" s="71" t="s">
        <v>35</v>
      </c>
      <c r="D161" s="71" t="s">
        <v>35</v>
      </c>
      <c r="E161" s="71" t="s">
        <v>67</v>
      </c>
      <c r="F161" s="71" t="s">
        <v>29</v>
      </c>
      <c r="G161" s="71" t="s">
        <v>38</v>
      </c>
      <c r="H161" s="72" t="str">
        <f>HYPERLINK("https://innovativeincomeinvestor.com/security/carecloud-inc-8-75-series-b-cumulative-redeemable-perpetual-preferred-stock/","CCLDO")</f>
        <v>CCLDO</v>
      </c>
      <c r="I161" s="73">
        <v>8.7499999999999994E-2</v>
      </c>
      <c r="J161" s="74">
        <f ca="1">IFERROR(__xludf.DUMMYFUNCTION("GoogleFinance(H161)"),19.65)</f>
        <v>19.649999999999999</v>
      </c>
      <c r="K161" s="102">
        <f ca="1">IFERROR(__xludf.DUMMYFUNCTION("googlefinance(H161,""change"")"),0.05)</f>
        <v>0.05</v>
      </c>
      <c r="L161" s="27">
        <f t="shared" ref="L161:L162" ca="1" si="87">(Q161*12)/J161</f>
        <v>0.111323155216285</v>
      </c>
      <c r="M161" s="95" t="s">
        <v>124</v>
      </c>
      <c r="N161" s="131" t="s">
        <v>31</v>
      </c>
      <c r="O161" s="131" t="s">
        <v>32</v>
      </c>
      <c r="P161" s="131" t="s">
        <v>32</v>
      </c>
      <c r="Q161" s="29">
        <f t="shared" si="86"/>
        <v>0.18229166666666666</v>
      </c>
      <c r="R161" s="134">
        <v>45337</v>
      </c>
      <c r="S161" s="131" t="s">
        <v>41</v>
      </c>
      <c r="T161" s="133" t="s">
        <v>174</v>
      </c>
      <c r="U161" s="16">
        <f t="shared" ca="1" si="47"/>
        <v>-1.4</v>
      </c>
      <c r="V161" s="11" t="str">
        <v>All</v>
      </c>
      <c r="X161">
        <f t="shared" ca="1" si="70"/>
        <v>0.35031795625334211</v>
      </c>
      <c r="Z161" s="17">
        <f t="shared" ca="1" si="71"/>
        <v>46213</v>
      </c>
      <c r="AG161" s="33">
        <f t="shared" ca="1" si="72"/>
        <v>0.22304308392623076</v>
      </c>
      <c r="AH161">
        <f t="shared" ca="1" si="73"/>
        <v>0.14898111176510814</v>
      </c>
      <c r="AI161">
        <f t="shared" ca="1" si="74"/>
        <v>0.13529941524440825</v>
      </c>
      <c r="AJ161">
        <f t="shared" ca="1" si="75"/>
        <v>0.12534631794496406</v>
      </c>
      <c r="AK161">
        <f t="shared" ca="1" si="76"/>
        <v>0.11494666439024771</v>
      </c>
    </row>
    <row r="162" spans="1:37" ht="17.25" customHeight="1">
      <c r="A162" s="19"/>
      <c r="B162" s="135" t="s">
        <v>175</v>
      </c>
      <c r="C162" s="131" t="s">
        <v>35</v>
      </c>
      <c r="D162" s="131" t="s">
        <v>36</v>
      </c>
      <c r="E162" s="131" t="s">
        <v>176</v>
      </c>
      <c r="F162" s="131" t="s">
        <v>29</v>
      </c>
      <c r="G162" s="131" t="s">
        <v>177</v>
      </c>
      <c r="H162" s="136" t="str">
        <f>HYPERLINK("https://innovativeincomeinvestor.com/security/carlyle-credit-income-fund-8-75-series-a-term-preferred-shares-due-2028/","CCIA")</f>
        <v>CCIA</v>
      </c>
      <c r="I162" s="137">
        <v>8.7499999999999994E-2</v>
      </c>
      <c r="J162" s="138">
        <f ca="1">IFERROR(__xludf.DUMMYFUNCTION("GoogleFinance(H162)"),25.68)</f>
        <v>25.68</v>
      </c>
      <c r="K162" s="139">
        <f ca="1">IFERROR(__xludf.DUMMYFUNCTION("googlefinance(H162,""change"")"),0.03)</f>
        <v>0.03</v>
      </c>
      <c r="L162" s="140">
        <f t="shared" ca="1" si="87"/>
        <v>8.411214953271029E-2</v>
      </c>
      <c r="M162" s="140">
        <f t="shared" ref="M162:M163" ca="1" si="88">L162*U162+(25-J162)/25/U162</f>
        <v>-6.1818207361300059E-2</v>
      </c>
      <c r="N162" s="131" t="s">
        <v>31</v>
      </c>
      <c r="O162" s="131" t="s">
        <v>32</v>
      </c>
      <c r="P162" s="131" t="s">
        <v>32</v>
      </c>
      <c r="Q162" s="141">
        <v>0.18</v>
      </c>
      <c r="R162" s="134">
        <v>45961</v>
      </c>
      <c r="S162" s="142">
        <v>47057</v>
      </c>
      <c r="T162" s="133" t="s">
        <v>178</v>
      </c>
      <c r="U162" s="16">
        <f t="shared" ca="1" si="47"/>
        <v>0.30958904109589042</v>
      </c>
      <c r="V162" s="11" t="str">
        <v>All</v>
      </c>
      <c r="X162">
        <f t="shared" ca="1" si="70"/>
        <v>5.9284745883905227E-2</v>
      </c>
      <c r="Z162" s="17">
        <f t="shared" ca="1" si="71"/>
        <v>46213</v>
      </c>
      <c r="AG162" s="33">
        <f t="shared" ca="1" si="72"/>
        <v>7.2763315135073309E-2</v>
      </c>
      <c r="AH162">
        <f t="shared" ca="1" si="73"/>
        <v>8.0829228522160915E-2</v>
      </c>
      <c r="AI162">
        <f t="shared" ca="1" si="74"/>
        <v>8.2344668071045832E-2</v>
      </c>
      <c r="AJ162">
        <f t="shared" ca="1" si="75"/>
        <v>8.3459982295061699E-2</v>
      </c>
      <c r="AK162">
        <f t="shared" ca="1" si="76"/>
        <v>8.4664752298603568E-2</v>
      </c>
    </row>
    <row r="163" spans="1:37" ht="17.25" customHeight="1">
      <c r="A163" s="19"/>
      <c r="B163" s="45" t="s">
        <v>179</v>
      </c>
      <c r="C163" s="36" t="s">
        <v>27</v>
      </c>
      <c r="D163" s="28" t="s">
        <v>27</v>
      </c>
      <c r="E163" s="28" t="s">
        <v>117</v>
      </c>
      <c r="F163" s="28" t="s">
        <v>29</v>
      </c>
      <c r="G163" s="28" t="s">
        <v>30</v>
      </c>
      <c r="H163" s="55" t="str">
        <f>HYPERLINK("https://innovativeincomeinvestor.com/security/carlyle-finance-llc-4-625-subordinated-notes-due-2061/","CGABL")</f>
        <v>CGABL</v>
      </c>
      <c r="I163" s="47">
        <v>4.6249999999999999E-2</v>
      </c>
      <c r="J163" s="65">
        <f ca="1">IFERROR(__xludf.DUMMYFUNCTION("GoogleFinance(H163)"),17.37)</f>
        <v>17.37</v>
      </c>
      <c r="K163" s="48">
        <f ca="1">IFERROR(__xludf.DUMMYFUNCTION("googlefinance(H163,""change"")"),0.19)</f>
        <v>0.19</v>
      </c>
      <c r="L163" s="27">
        <f t="shared" ref="L163:L165" ca="1" si="89">(Q163*4)/J163</f>
        <v>6.6781807714450192E-2</v>
      </c>
      <c r="M163" s="27">
        <f t="shared" ca="1" si="88"/>
        <v>0.41704715859718416</v>
      </c>
      <c r="N163" s="28" t="s">
        <v>39</v>
      </c>
      <c r="O163" s="28" t="s">
        <v>55</v>
      </c>
      <c r="P163" s="28" t="s">
        <v>32</v>
      </c>
      <c r="Q163" s="29">
        <v>0.28999999999999998</v>
      </c>
      <c r="R163" s="64">
        <v>46157</v>
      </c>
      <c r="S163" s="61">
        <v>58941</v>
      </c>
      <c r="T163" s="62" t="s">
        <v>33</v>
      </c>
      <c r="U163" s="16">
        <f t="shared" ca="1" si="47"/>
        <v>0.84657534246575339</v>
      </c>
      <c r="V163" s="11" t="str">
        <v>All</v>
      </c>
      <c r="X163">
        <f t="shared" ca="1" si="70"/>
        <v>0.43967848101970891</v>
      </c>
      <c r="Z163" s="17">
        <f t="shared" ca="1" si="71"/>
        <v>46213</v>
      </c>
      <c r="AG163" s="33">
        <f t="shared" ca="1" si="72"/>
        <v>0.24352984946256775</v>
      </c>
      <c r="AH163">
        <f t="shared" ca="1" si="73"/>
        <v>0.1303069759502436</v>
      </c>
      <c r="AI163">
        <f t="shared" ca="1" si="74"/>
        <v>0.10921753728881291</v>
      </c>
      <c r="AJ163">
        <f t="shared" ca="1" si="75"/>
        <v>9.3595420830116918E-2</v>
      </c>
      <c r="AK163">
        <f t="shared" ca="1" si="76"/>
        <v>7.6085962031354953E-2</v>
      </c>
    </row>
    <row r="164" spans="1:37" ht="17.25" customHeight="1">
      <c r="A164" s="19"/>
      <c r="B164" s="45" t="s">
        <v>180</v>
      </c>
      <c r="C164" s="36" t="s">
        <v>35</v>
      </c>
      <c r="D164" s="28" t="s">
        <v>27</v>
      </c>
      <c r="E164" s="28" t="s">
        <v>181</v>
      </c>
      <c r="F164" s="28" t="s">
        <v>29</v>
      </c>
      <c r="G164" s="28" t="s">
        <v>38</v>
      </c>
      <c r="H164" s="66" t="str">
        <f>HYPERLINK("https://innovativeincomeinvestor.com/security/cedar-realty-trust-7-25-series-b-cumulative-redeemable-preferred-stock/","CDR-B")</f>
        <v>CDR-B</v>
      </c>
      <c r="I164" s="47">
        <v>7.2499999999999995E-2</v>
      </c>
      <c r="J164" s="25">
        <f ca="1">IFERROR(__xludf.DUMMYFUNCTION("GoogleFinance(H164)"),15.81)</f>
        <v>15.81</v>
      </c>
      <c r="K164" s="48">
        <f ca="1">IFERROR(__xludf.DUMMYFUNCTION("googlefinance(H164,""change"")"),-0.07)</f>
        <v>-7.0000000000000007E-2</v>
      </c>
      <c r="L164" s="27">
        <f t="shared" ca="1" si="89"/>
        <v>0.11464263124604679</v>
      </c>
      <c r="M164" s="27">
        <f t="shared" ref="M164:M165" ca="1" si="90">(25-J164)/25</f>
        <v>0.36759999999999998</v>
      </c>
      <c r="N164" s="28" t="s">
        <v>31</v>
      </c>
      <c r="O164" s="28" t="s">
        <v>32</v>
      </c>
      <c r="P164" s="28" t="s">
        <v>32</v>
      </c>
      <c r="Q164" s="29">
        <f t="shared" ref="Q164:Q166" si="91">(I164*25)/4</f>
        <v>0.45312499999999994</v>
      </c>
      <c r="R164" s="64">
        <v>42877</v>
      </c>
      <c r="S164" s="54" t="s">
        <v>41</v>
      </c>
      <c r="T164" s="62" t="s">
        <v>182</v>
      </c>
      <c r="U164" s="16">
        <f t="shared" ca="1" si="47"/>
        <v>-8.1397260273972609</v>
      </c>
      <c r="V164" s="11" t="str">
        <v>All</v>
      </c>
      <c r="X164">
        <f t="shared" ca="1" si="70"/>
        <v>0.58314721008453463</v>
      </c>
      <c r="Z164" s="17">
        <f t="shared" ca="1" si="71"/>
        <v>46213</v>
      </c>
      <c r="AG164" s="33">
        <f t="shared" ca="1" si="72"/>
        <v>0.33106327120016521</v>
      </c>
      <c r="AH164">
        <f t="shared" ca="1" si="73"/>
        <v>0.18739412787130447</v>
      </c>
      <c r="AI164">
        <f t="shared" ca="1" si="74"/>
        <v>0.16104591811797714</v>
      </c>
      <c r="AJ164">
        <f t="shared" ca="1" si="75"/>
        <v>0.14187196036678701</v>
      </c>
      <c r="AK164">
        <f t="shared" ca="1" si="76"/>
        <v>0.12172581205364903</v>
      </c>
    </row>
    <row r="165" spans="1:37" ht="17.25" customHeight="1">
      <c r="A165" s="19"/>
      <c r="B165" s="45" t="s">
        <v>180</v>
      </c>
      <c r="C165" s="36" t="s">
        <v>35</v>
      </c>
      <c r="D165" s="28" t="s">
        <v>27</v>
      </c>
      <c r="E165" s="28" t="s">
        <v>181</v>
      </c>
      <c r="F165" s="28" t="s">
        <v>29</v>
      </c>
      <c r="G165" s="28" t="s">
        <v>38</v>
      </c>
      <c r="H165" s="51" t="str">
        <f>HYPERLINK("https://innovativeincomeinvestor.com/security/cedar-realty-trust-6-50-series-c-cumulative-redeemable-preferred-stock/","CDR-C")</f>
        <v>CDR-C</v>
      </c>
      <c r="I165" s="47">
        <v>6.5000000000000002E-2</v>
      </c>
      <c r="J165" s="25">
        <f ca="1">IFERROR(__xludf.DUMMYFUNCTION("GoogleFinance(H165)"),14.91)</f>
        <v>14.91</v>
      </c>
      <c r="K165" s="48">
        <f ca="1">IFERROR(__xludf.DUMMYFUNCTION("googlefinance(H165,""change"")"),0.01)</f>
        <v>0.01</v>
      </c>
      <c r="L165" s="27">
        <f t="shared" ca="1" si="89"/>
        <v>0.10898725687458082</v>
      </c>
      <c r="M165" s="27">
        <f t="shared" ca="1" si="90"/>
        <v>0.40360000000000001</v>
      </c>
      <c r="N165" s="28" t="s">
        <v>31</v>
      </c>
      <c r="O165" s="28" t="s">
        <v>32</v>
      </c>
      <c r="P165" s="28" t="s">
        <v>32</v>
      </c>
      <c r="Q165" s="29">
        <f t="shared" si="91"/>
        <v>0.40625</v>
      </c>
      <c r="R165" s="53">
        <v>44795</v>
      </c>
      <c r="S165" s="54" t="s">
        <v>41</v>
      </c>
      <c r="T165" s="50" t="s">
        <v>167</v>
      </c>
      <c r="U165" s="16">
        <f t="shared" ca="1" si="47"/>
        <v>-2.8849315068493149</v>
      </c>
      <c r="V165" s="11" t="str">
        <v>All</v>
      </c>
      <c r="X165">
        <f t="shared" ca="1" si="70"/>
        <v>0.64273356746514909</v>
      </c>
      <c r="Z165" s="17">
        <f t="shared" ca="1" si="71"/>
        <v>46213</v>
      </c>
      <c r="AG165" s="33">
        <f t="shared" ca="1" si="72"/>
        <v>0.35544825197860785</v>
      </c>
      <c r="AH165">
        <f t="shared" ca="1" si="73"/>
        <v>0.19254607402334734</v>
      </c>
      <c r="AI165">
        <f t="shared" ca="1" si="74"/>
        <v>0.16267340815041328</v>
      </c>
      <c r="AJ165">
        <f t="shared" ca="1" si="75"/>
        <v>0.14087223782022212</v>
      </c>
      <c r="AK165">
        <f t="shared" ca="1" si="76"/>
        <v>0.11768242215087529</v>
      </c>
    </row>
    <row r="166" spans="1:37" ht="17.25" customHeight="1">
      <c r="A166" s="19"/>
      <c r="B166" s="45" t="s">
        <v>183</v>
      </c>
      <c r="C166" s="28" t="s">
        <v>35</v>
      </c>
      <c r="D166" s="28" t="s">
        <v>27</v>
      </c>
      <c r="E166" s="36" t="s">
        <v>63</v>
      </c>
      <c r="F166" s="36" t="s">
        <v>29</v>
      </c>
      <c r="G166" s="28" t="s">
        <v>38</v>
      </c>
      <c r="H166" s="94" t="str">
        <f>HYPERLINK("https://innovativeincomeinvestor.com/security/investors-real-estate-trust-6-625-series-c-cumulative-redeemable-preferred-shares/","CSR-C")</f>
        <v>CSR-C</v>
      </c>
      <c r="I166" s="85">
        <v>6.6250000000000003E-2</v>
      </c>
      <c r="J166" s="86" t="s">
        <v>68</v>
      </c>
      <c r="K166" s="87" t="s">
        <v>68</v>
      </c>
      <c r="L166" s="88" t="s">
        <v>68</v>
      </c>
      <c r="M166" s="88" t="s">
        <v>68</v>
      </c>
      <c r="N166" s="28" t="s">
        <v>31</v>
      </c>
      <c r="O166" s="28" t="s">
        <v>32</v>
      </c>
      <c r="P166" s="28" t="s">
        <v>32</v>
      </c>
      <c r="Q166" s="29">
        <f t="shared" si="91"/>
        <v>0.4140625</v>
      </c>
      <c r="R166" s="53">
        <v>44836</v>
      </c>
      <c r="S166" s="54" t="s">
        <v>41</v>
      </c>
      <c r="T166" s="62" t="s">
        <v>42</v>
      </c>
      <c r="U166" s="16">
        <f t="shared" ca="1" si="47"/>
        <v>-2.7726027397260276</v>
      </c>
      <c r="V166" s="11" t="str">
        <v>All</v>
      </c>
      <c r="X166" t="e">
        <f t="shared" ca="1" si="70"/>
        <v>#VALUE!</v>
      </c>
      <c r="Z166" s="17">
        <f t="shared" ca="1" si="71"/>
        <v>46213</v>
      </c>
      <c r="AG166" s="33" t="e">
        <f t="shared" ca="1" si="72"/>
        <v>#VALUE!</v>
      </c>
      <c r="AH166" t="e">
        <f t="shared" ca="1" si="73"/>
        <v>#VALUE!</v>
      </c>
      <c r="AI166" t="e">
        <f t="shared" ca="1" si="74"/>
        <v>#VALUE!</v>
      </c>
      <c r="AJ166" t="e">
        <f t="shared" ca="1" si="75"/>
        <v>#VALUE!</v>
      </c>
      <c r="AK166" t="e">
        <f t="shared" ca="1" si="76"/>
        <v>#VALUE!</v>
      </c>
    </row>
    <row r="167" spans="1:37" ht="17.25" customHeight="1">
      <c r="A167" s="19"/>
      <c r="B167" s="45" t="s">
        <v>184</v>
      </c>
      <c r="C167" s="36" t="s">
        <v>27</v>
      </c>
      <c r="D167" s="28" t="s">
        <v>27</v>
      </c>
      <c r="E167" s="28" t="s">
        <v>67</v>
      </c>
      <c r="F167" s="28" t="s">
        <v>29</v>
      </c>
      <c r="G167" s="28" t="s">
        <v>30</v>
      </c>
      <c r="H167" s="46" t="str">
        <f>HYPERLINK("https://innovativeincomeinvestor.com/security/charah-solutions-inc-8-50-senior-notes-due-2026/","CHRB")</f>
        <v>CHRB</v>
      </c>
      <c r="I167" s="47">
        <v>8.5000000000000006E-2</v>
      </c>
      <c r="J167" s="125">
        <f ca="1">IFERROR(__xludf.DUMMYFUNCTION("GoogleFinance(H167)"),22.9)</f>
        <v>22.9</v>
      </c>
      <c r="K167" s="143">
        <f ca="1">IFERROR(__xludf.DUMMYFUNCTION("googlefinance(H167,""change"")"),-0.15)</f>
        <v>-0.15</v>
      </c>
      <c r="L167" s="27">
        <f t="shared" ref="L167:L169" ca="1" si="92">(Q167*4)/J167</f>
        <v>9.2576419213973804E-2</v>
      </c>
      <c r="M167" s="27">
        <f ca="1">(25-J167)/25</f>
        <v>8.4000000000000061E-2</v>
      </c>
      <c r="N167" s="28" t="s">
        <v>31</v>
      </c>
      <c r="O167" s="28" t="s">
        <v>32</v>
      </c>
      <c r="P167" s="28" t="s">
        <v>32</v>
      </c>
      <c r="Q167" s="29">
        <v>0.53</v>
      </c>
      <c r="R167" s="53">
        <v>45169</v>
      </c>
      <c r="S167" s="61">
        <v>46265</v>
      </c>
      <c r="T167" s="50" t="s">
        <v>79</v>
      </c>
      <c r="U167" s="16">
        <f t="shared" ca="1" si="47"/>
        <v>-1.8602739726027397</v>
      </c>
      <c r="V167" s="11" t="str">
        <v>All</v>
      </c>
      <c r="X167">
        <f t="shared" ca="1" si="70"/>
        <v>0.17858009067985398</v>
      </c>
      <c r="Z167" s="17">
        <f t="shared" ca="1" si="71"/>
        <v>46213</v>
      </c>
      <c r="AG167" s="33">
        <f t="shared" ca="1" si="72"/>
        <v>0.13355183125923809</v>
      </c>
      <c r="AH167">
        <f t="shared" ca="1" si="73"/>
        <v>0.10691543928389684</v>
      </c>
      <c r="AI167">
        <f t="shared" ca="1" si="74"/>
        <v>0.10194057911189784</v>
      </c>
      <c r="AJ167">
        <f t="shared" ca="1" si="75"/>
        <v>9.8292412024063816E-2</v>
      </c>
      <c r="AK167">
        <f t="shared" ca="1" si="76"/>
        <v>9.4380665386592622E-2</v>
      </c>
    </row>
    <row r="168" spans="1:37" ht="17.25" customHeight="1">
      <c r="A168" s="19"/>
      <c r="B168" s="45" t="s">
        <v>185</v>
      </c>
      <c r="C168" s="36" t="s">
        <v>35</v>
      </c>
      <c r="D168" s="28" t="s">
        <v>27</v>
      </c>
      <c r="E168" s="28" t="s">
        <v>106</v>
      </c>
      <c r="F168" s="28" t="s">
        <v>29</v>
      </c>
      <c r="G168" s="28" t="s">
        <v>38</v>
      </c>
      <c r="H168" s="46" t="str">
        <f>HYPERLINK("https://innovativeincomeinvestor.com/security/chatham-lodging-trust-6-625-series-a-cumulative-redeemable-preferred-stock/","CLDT-A")</f>
        <v>CLDT-A</v>
      </c>
      <c r="I168" s="47">
        <v>6.6250000000000003E-2</v>
      </c>
      <c r="J168" s="54">
        <f ca="1">IFERROR(__xludf.DUMMYFUNCTION("GoogleFinance(H168)"),20.28)</f>
        <v>20.28</v>
      </c>
      <c r="K168" s="143">
        <f ca="1">IFERROR(__xludf.DUMMYFUNCTION("googlefinance(H168,""change"")"),0.05)</f>
        <v>0.05</v>
      </c>
      <c r="L168" s="27">
        <f t="shared" ca="1" si="92"/>
        <v>8.2840236686390525E-2</v>
      </c>
      <c r="M168" s="27">
        <f t="array" aca="1" ref="M168" ca="1">L168*U168+(25-J168)/25/U168</f>
        <v>0.27468895101989088</v>
      </c>
      <c r="N168" s="28" t="s">
        <v>31</v>
      </c>
      <c r="O168" s="28" t="s">
        <v>32</v>
      </c>
      <c r="P168" s="28" t="s">
        <v>32</v>
      </c>
      <c r="Q168" s="29">
        <v>0.42</v>
      </c>
      <c r="R168" s="53">
        <v>46203</v>
      </c>
      <c r="S168" s="54" t="s">
        <v>41</v>
      </c>
      <c r="T168" s="50" t="s">
        <v>60</v>
      </c>
      <c r="U168" s="16">
        <f t="shared" ca="1" si="47"/>
        <v>0.9726027397260274</v>
      </c>
      <c r="V168" s="11" t="str">
        <v>All</v>
      </c>
      <c r="X168">
        <f t="shared" ca="1" si="70"/>
        <v>0.29053314078847992</v>
      </c>
      <c r="Z168" s="17">
        <f t="shared" ca="1" si="71"/>
        <v>46213</v>
      </c>
      <c r="AG168" s="33">
        <f t="shared" ca="1" si="72"/>
        <v>0.18084437545807558</v>
      </c>
      <c r="AH168">
        <f t="shared" ca="1" si="73"/>
        <v>0.11663764614812341</v>
      </c>
      <c r="AI168">
        <f t="shared" ca="1" si="74"/>
        <v>0.10465217180395255</v>
      </c>
      <c r="AJ168">
        <f t="shared" ca="1" si="75"/>
        <v>9.5815976625654123E-2</v>
      </c>
      <c r="AK168">
        <f t="shared" ca="1" si="76"/>
        <v>8.6131341565073502E-2</v>
      </c>
    </row>
    <row r="169" spans="1:37" ht="17.25" customHeight="1">
      <c r="A169" s="19"/>
      <c r="B169" s="45" t="s">
        <v>186</v>
      </c>
      <c r="C169" s="36" t="s">
        <v>35</v>
      </c>
      <c r="D169" s="28" t="s">
        <v>27</v>
      </c>
      <c r="E169" s="28" t="s">
        <v>44</v>
      </c>
      <c r="F169" s="28" t="s">
        <v>29</v>
      </c>
      <c r="G169" s="28" t="s">
        <v>38</v>
      </c>
      <c r="H169" s="66" t="str">
        <f>HYPERLINK("https://innovativeincomeinvestor.com/security/cherry-hill-motgage-investment-co-8-20-series-a-cumulative-redeemable-preerred-stock/","CHMI-A")</f>
        <v>CHMI-A</v>
      </c>
      <c r="I169" s="47">
        <v>8.2000000000000003E-2</v>
      </c>
      <c r="J169" s="65">
        <f ca="1">IFERROR(__xludf.DUMMYFUNCTION("GoogleFinance(H169)"),20.6)</f>
        <v>20.6</v>
      </c>
      <c r="K169" s="65">
        <f ca="1">IFERROR(__xludf.DUMMYFUNCTION("googlefinance(H169,""change"")"),0.03)</f>
        <v>0.03</v>
      </c>
      <c r="L169" s="27">
        <f t="shared" ca="1" si="92"/>
        <v>9.9514563106796128E-2</v>
      </c>
      <c r="M169" s="27">
        <f ca="1">(25-J169)/25</f>
        <v>0.17599999999999993</v>
      </c>
      <c r="N169" s="28" t="s">
        <v>31</v>
      </c>
      <c r="O169" s="28" t="s">
        <v>32</v>
      </c>
      <c r="P169" s="28" t="s">
        <v>32</v>
      </c>
      <c r="Q169" s="29">
        <f>(I169*25)/4</f>
        <v>0.51250000000000007</v>
      </c>
      <c r="R169" s="53">
        <v>44790</v>
      </c>
      <c r="S169" s="54" t="s">
        <v>41</v>
      </c>
      <c r="T169" s="50" t="s">
        <v>60</v>
      </c>
      <c r="U169" s="16">
        <f t="shared" ca="1" si="47"/>
        <v>-2.8986301369863012</v>
      </c>
      <c r="V169" s="11" t="str">
        <v>All</v>
      </c>
      <c r="X169">
        <f t="shared" ca="1" si="70"/>
        <v>0.29115003023504404</v>
      </c>
      <c r="Z169" s="17">
        <f t="shared" ca="1" si="71"/>
        <v>46213</v>
      </c>
      <c r="AG169" s="33">
        <f t="shared" ca="1" si="72"/>
        <v>0.18980461678729868</v>
      </c>
      <c r="AH169">
        <f t="shared" ca="1" si="73"/>
        <v>0.130493178934183</v>
      </c>
      <c r="AI169">
        <f t="shared" ca="1" si="74"/>
        <v>0.11947615873602398</v>
      </c>
      <c r="AJ169">
        <f t="shared" ca="1" si="75"/>
        <v>0.11141734432020034</v>
      </c>
      <c r="AK169">
        <f t="shared" ca="1" si="76"/>
        <v>0.10283615560036502</v>
      </c>
    </row>
    <row r="170" spans="1:37" ht="17.25" customHeight="1">
      <c r="A170" s="19"/>
      <c r="B170" s="45" t="s">
        <v>186</v>
      </c>
      <c r="C170" s="36" t="s">
        <v>35</v>
      </c>
      <c r="D170" s="28" t="s">
        <v>27</v>
      </c>
      <c r="E170" s="28" t="s">
        <v>63</v>
      </c>
      <c r="F170" s="28" t="s">
        <v>46</v>
      </c>
      <c r="G170" s="28" t="s">
        <v>38</v>
      </c>
      <c r="H170" s="51" t="str">
        <f>HYPERLINK("https://innovativeincomeinvestor.com/security/cherry-hill-mortgage-8-25-series-b-fixed-to-floating-rate-cumulative-redeemable-preferred-stock/","CHMI-B")</f>
        <v>CHMI-B</v>
      </c>
      <c r="I170" s="47">
        <v>8.2500000000000004E-2</v>
      </c>
      <c r="J170" s="25">
        <f ca="1">IFERROR(__xludf.DUMMYFUNCTION("GoogleFinance(H170)"),23.64)</f>
        <v>23.64</v>
      </c>
      <c r="K170" s="67">
        <f ca="1">IFERROR(__xludf.DUMMYFUNCTION("googlefinance(H170,""change"")"),-0.06)</f>
        <v>-0.06</v>
      </c>
      <c r="L170" s="52" t="s">
        <v>47</v>
      </c>
      <c r="M170" s="52" t="s">
        <v>47</v>
      </c>
      <c r="N170" s="28" t="s">
        <v>31</v>
      </c>
      <c r="O170" s="28" t="s">
        <v>32</v>
      </c>
      <c r="P170" s="28" t="s">
        <v>32</v>
      </c>
      <c r="Q170" s="52" t="s">
        <v>47</v>
      </c>
      <c r="R170" s="53">
        <v>45387</v>
      </c>
      <c r="S170" s="54" t="s">
        <v>41</v>
      </c>
      <c r="T170" s="50" t="s">
        <v>60</v>
      </c>
      <c r="U170" s="16">
        <f t="shared" ca="1" si="47"/>
        <v>-1.263013698630137</v>
      </c>
      <c r="V170" s="11" t="str">
        <v>All</v>
      </c>
      <c r="X170">
        <f t="shared" ca="1" si="70"/>
        <v>0.1418053347177608</v>
      </c>
      <c r="Z170" s="17">
        <f t="shared" ca="1" si="71"/>
        <v>46213</v>
      </c>
      <c r="AG170" s="33">
        <f t="shared" ca="1" si="72"/>
        <v>0.11327918313811279</v>
      </c>
      <c r="AH170">
        <f t="shared" ca="1" si="73"/>
        <v>9.6343491735300282E-2</v>
      </c>
      <c r="AI170">
        <f t="shared" ca="1" si="74"/>
        <v>9.31713209514793E-2</v>
      </c>
      <c r="AJ170">
        <f t="shared" ca="1" si="75"/>
        <v>9.0839482867206042E-2</v>
      </c>
      <c r="AK170">
        <f t="shared" ca="1" si="76"/>
        <v>8.8318758561100066E-2</v>
      </c>
    </row>
    <row r="171" spans="1:37" ht="17.25" customHeight="1">
      <c r="A171" s="19"/>
      <c r="B171" s="135" t="s">
        <v>187</v>
      </c>
      <c r="C171" s="131" t="s">
        <v>35</v>
      </c>
      <c r="D171" s="131" t="s">
        <v>35</v>
      </c>
      <c r="E171" s="131" t="s">
        <v>67</v>
      </c>
      <c r="F171" s="131" t="s">
        <v>29</v>
      </c>
      <c r="G171" s="131" t="s">
        <v>38</v>
      </c>
      <c r="H171" s="144" t="str">
        <f>HYPERLINK("https://innovativeincomeinvestor.com/security/chicken-soup-for-the-soul-entertainment-9-75-series-a-cumulative-redeemable-perpetual-preferred-stock/","CSSEP")</f>
        <v>CSSEP</v>
      </c>
      <c r="I171" s="137">
        <v>9.7500000000000003E-2</v>
      </c>
      <c r="J171" s="67" t="s">
        <v>94</v>
      </c>
      <c r="K171" s="67" t="s">
        <v>94</v>
      </c>
      <c r="L171" s="67" t="s">
        <v>94</v>
      </c>
      <c r="M171" s="67" t="s">
        <v>94</v>
      </c>
      <c r="N171" s="131" t="s">
        <v>31</v>
      </c>
      <c r="O171" s="131" t="s">
        <v>32</v>
      </c>
      <c r="P171" s="131" t="s">
        <v>32</v>
      </c>
      <c r="Q171" s="141">
        <f t="shared" ref="Q171:Q173" si="93">(I171*25)/4</f>
        <v>0.609375</v>
      </c>
      <c r="R171" s="134">
        <v>45104</v>
      </c>
      <c r="S171" s="145" t="s">
        <v>41</v>
      </c>
      <c r="T171" s="133" t="s">
        <v>174</v>
      </c>
      <c r="U171" s="16">
        <f t="shared" ca="1" si="47"/>
        <v>-2.0383561643835617</v>
      </c>
      <c r="V171" s="11" t="str">
        <v>All</v>
      </c>
      <c r="X171" t="e">
        <f t="shared" ca="1" si="70"/>
        <v>#VALUE!</v>
      </c>
      <c r="Z171" s="17">
        <f t="shared" ca="1" si="71"/>
        <v>46213</v>
      </c>
      <c r="AG171" s="33" t="e">
        <f t="shared" ca="1" si="72"/>
        <v>#VALUE!</v>
      </c>
      <c r="AH171" t="e">
        <f t="shared" ca="1" si="73"/>
        <v>#VALUE!</v>
      </c>
      <c r="AI171" t="e">
        <f t="shared" ca="1" si="74"/>
        <v>#VALUE!</v>
      </c>
      <c r="AJ171" t="e">
        <f t="shared" ca="1" si="75"/>
        <v>#VALUE!</v>
      </c>
      <c r="AK171" t="e">
        <f t="shared" ca="1" si="76"/>
        <v>#VALUE!</v>
      </c>
    </row>
    <row r="172" spans="1:37" ht="17.25" customHeight="1">
      <c r="A172" s="19"/>
      <c r="B172" s="45" t="s">
        <v>187</v>
      </c>
      <c r="C172" s="28" t="s">
        <v>27</v>
      </c>
      <c r="D172" s="28" t="s">
        <v>27</v>
      </c>
      <c r="E172" s="28" t="s">
        <v>67</v>
      </c>
      <c r="F172" s="28" t="s">
        <v>29</v>
      </c>
      <c r="G172" s="28" t="s">
        <v>30</v>
      </c>
      <c r="H172" s="23" t="str">
        <f>HYPERLINK("https://innovativeincomeinvestor.com/security/chicken-soup-for-the-soul-entertainment-9-50-notes-due-2025/","CSSEN")</f>
        <v>CSSEN</v>
      </c>
      <c r="I172" s="47">
        <v>9.5000000000000001E-2</v>
      </c>
      <c r="J172" s="67" t="s">
        <v>94</v>
      </c>
      <c r="K172" s="67" t="s">
        <v>94</v>
      </c>
      <c r="L172" s="67" t="s">
        <v>94</v>
      </c>
      <c r="M172" s="67" t="s">
        <v>94</v>
      </c>
      <c r="N172" s="28" t="s">
        <v>31</v>
      </c>
      <c r="O172" s="28" t="s">
        <v>32</v>
      </c>
      <c r="P172" s="28" t="s">
        <v>32</v>
      </c>
      <c r="Q172" s="29">
        <f t="shared" si="93"/>
        <v>0.59375</v>
      </c>
      <c r="R172" s="53">
        <v>44773</v>
      </c>
      <c r="S172" s="61">
        <v>45869</v>
      </c>
      <c r="T172" s="50" t="s">
        <v>42</v>
      </c>
      <c r="U172" s="16">
        <f t="shared" ca="1" si="47"/>
        <v>-2.9452054794520546</v>
      </c>
      <c r="V172" s="11" t="str">
        <v>All</v>
      </c>
      <c r="X172" t="e">
        <f t="shared" ca="1" si="70"/>
        <v>#VALUE!</v>
      </c>
      <c r="Z172" s="17">
        <f t="shared" ca="1" si="71"/>
        <v>46213</v>
      </c>
      <c r="AG172" s="33" t="e">
        <f t="shared" ca="1" si="72"/>
        <v>#VALUE!</v>
      </c>
      <c r="AH172" t="e">
        <f t="shared" ca="1" si="73"/>
        <v>#VALUE!</v>
      </c>
      <c r="AI172" t="e">
        <f t="shared" ca="1" si="74"/>
        <v>#VALUE!</v>
      </c>
      <c r="AJ172" t="e">
        <f t="shared" ca="1" si="75"/>
        <v>#VALUE!</v>
      </c>
      <c r="AK172" t="e">
        <f t="shared" ca="1" si="76"/>
        <v>#VALUE!</v>
      </c>
    </row>
    <row r="173" spans="1:37" ht="17.25" customHeight="1">
      <c r="A173" s="19"/>
      <c r="B173" s="45" t="s">
        <v>188</v>
      </c>
      <c r="C173" s="28" t="s">
        <v>35</v>
      </c>
      <c r="D173" s="28" t="s">
        <v>27</v>
      </c>
      <c r="E173" s="28" t="s">
        <v>44</v>
      </c>
      <c r="F173" s="28" t="s">
        <v>29</v>
      </c>
      <c r="G173" s="28" t="s">
        <v>38</v>
      </c>
      <c r="H173" s="66" t="str">
        <f>HYPERLINK("https://innovativeincomeinvestor.com/security/chimera-investment-corp-8-00-series-a-cumulative-redeemable-preferred-stock/","CIM-A")</f>
        <v>CIM-A</v>
      </c>
      <c r="I173" s="47">
        <v>0.08</v>
      </c>
      <c r="J173" s="25">
        <f ca="1">IFERROR(__xludf.DUMMYFUNCTION("GoogleFinance(H173)"),22.35)</f>
        <v>22.35</v>
      </c>
      <c r="K173" s="48">
        <f ca="1">IFERROR(__xludf.DUMMYFUNCTION("googlefinance(H173,""change"")"),0.15)</f>
        <v>0.15</v>
      </c>
      <c r="L173" s="27">
        <f t="shared" ref="L173:L175" ca="1" si="94">(Q173*4)/J173</f>
        <v>8.9485458612975383E-2</v>
      </c>
      <c r="M173" s="27">
        <f ca="1">(25-J173)/25</f>
        <v>0.10599999999999994</v>
      </c>
      <c r="N173" s="28" t="s">
        <v>31</v>
      </c>
      <c r="O173" s="28" t="s">
        <v>32</v>
      </c>
      <c r="P173" s="28" t="s">
        <v>32</v>
      </c>
      <c r="Q173" s="29">
        <f t="shared" si="93"/>
        <v>0.5</v>
      </c>
      <c r="R173" s="53">
        <v>44490</v>
      </c>
      <c r="S173" s="54" t="s">
        <v>41</v>
      </c>
      <c r="T173" s="50" t="s">
        <v>56</v>
      </c>
      <c r="U173" s="16">
        <f t="shared" ca="1" si="47"/>
        <v>-3.7205479452054795</v>
      </c>
      <c r="V173" s="11" t="str">
        <v>All</v>
      </c>
      <c r="X173">
        <f t="shared" ca="1" si="70"/>
        <v>0.19954115689625554</v>
      </c>
      <c r="Z173" s="17">
        <f t="shared" ca="1" si="71"/>
        <v>46213</v>
      </c>
      <c r="AG173" s="33">
        <f t="shared" ca="1" si="72"/>
        <v>0.1417978582433771</v>
      </c>
      <c r="AH173">
        <f t="shared" ca="1" si="73"/>
        <v>0.10770674770325686</v>
      </c>
      <c r="AI173">
        <f t="shared" ca="1" si="74"/>
        <v>0.10133736127142423</v>
      </c>
      <c r="AJ173">
        <f t="shared" ca="1" si="75"/>
        <v>9.6658520706605633E-2</v>
      </c>
      <c r="AK173">
        <f t="shared" ca="1" si="76"/>
        <v>9.1608795483295508E-2</v>
      </c>
    </row>
    <row r="174" spans="1:37" ht="17.25" customHeight="1">
      <c r="A174" s="19"/>
      <c r="B174" s="45" t="s">
        <v>188</v>
      </c>
      <c r="C174" s="36" t="s">
        <v>27</v>
      </c>
      <c r="D174" s="36" t="s">
        <v>27</v>
      </c>
      <c r="E174" s="28" t="s">
        <v>44</v>
      </c>
      <c r="F174" s="28" t="s">
        <v>29</v>
      </c>
      <c r="G174" s="28" t="s">
        <v>30</v>
      </c>
      <c r="H174" s="83" t="str">
        <f>HYPERLINK("https://innovativeincomeinvestor.com/security/chimera-investment-corporation-9-00-senior-notes-due-2029/","CIMN")</f>
        <v>CIMN</v>
      </c>
      <c r="I174" s="47">
        <v>0.09</v>
      </c>
      <c r="J174" s="25">
        <f ca="1">IFERROR(__xludf.DUMMYFUNCTION("GoogleFinance(H174)"),25.27)</f>
        <v>25.27</v>
      </c>
      <c r="K174" s="67">
        <f ca="1">IFERROR(__xludf.DUMMYFUNCTION("googlefinance(H174,""change"")"),-0.03)</f>
        <v>-0.03</v>
      </c>
      <c r="L174" s="27">
        <f t="shared" ca="1" si="94"/>
        <v>8.9038385437277406E-2</v>
      </c>
      <c r="M174" s="27">
        <f t="shared" ref="M174:M175" ca="1" si="95">L174*U174+(25-J174)/25/U174</f>
        <v>6.2620420090762824E-2</v>
      </c>
      <c r="N174" s="28" t="s">
        <v>31</v>
      </c>
      <c r="O174" s="28" t="s">
        <v>32</v>
      </c>
      <c r="P174" s="28" t="s">
        <v>32</v>
      </c>
      <c r="Q174" s="29">
        <v>0.5625</v>
      </c>
      <c r="R174" s="53">
        <v>46157</v>
      </c>
      <c r="S174" s="61">
        <v>47253</v>
      </c>
      <c r="T174" s="146" t="s">
        <v>33</v>
      </c>
      <c r="U174" s="16">
        <f t="shared" ca="1" si="47"/>
        <v>0.84657534246575339</v>
      </c>
      <c r="V174" s="11" t="str">
        <v>All</v>
      </c>
      <c r="X174">
        <f t="shared" ca="1" si="70"/>
        <v>7.8663849123900662E-2</v>
      </c>
      <c r="Z174" s="17">
        <f t="shared" ca="1" si="71"/>
        <v>46213</v>
      </c>
      <c r="AG174" s="33">
        <f t="shared" ca="1" si="72"/>
        <v>8.4076843566334172E-2</v>
      </c>
      <c r="AH174">
        <f t="shared" ca="1" si="73"/>
        <v>8.7309354164554293E-2</v>
      </c>
      <c r="AI174">
        <f t="shared" ca="1" si="74"/>
        <v>8.7915411706360538E-2</v>
      </c>
      <c r="AJ174">
        <f t="shared" ca="1" si="75"/>
        <v>8.8360953473421794E-2</v>
      </c>
      <c r="AK174">
        <f t="shared" ca="1" si="76"/>
        <v>8.883884324538073E-2</v>
      </c>
    </row>
    <row r="175" spans="1:37" ht="17.25" customHeight="1">
      <c r="A175" s="19"/>
      <c r="B175" s="45" t="s">
        <v>188</v>
      </c>
      <c r="C175" s="36" t="s">
        <v>27</v>
      </c>
      <c r="D175" s="36" t="s">
        <v>27</v>
      </c>
      <c r="E175" s="28" t="s">
        <v>44</v>
      </c>
      <c r="F175" s="28" t="s">
        <v>29</v>
      </c>
      <c r="G175" s="28" t="s">
        <v>30</v>
      </c>
      <c r="H175" s="23" t="str">
        <f>HYPERLINK("https://innovativeincomeinvestor.com/security/chimera-investment-corporation-9-25-senior-notes-due-2029/","CIMO")</f>
        <v>CIMO</v>
      </c>
      <c r="I175" s="47">
        <v>9.2499999999999999E-2</v>
      </c>
      <c r="J175" s="25">
        <f ca="1">IFERROR(__xludf.DUMMYFUNCTION("GoogleFinance(H175)"),25.42)</f>
        <v>25.42</v>
      </c>
      <c r="K175" s="67">
        <f ca="1">IFERROR(__xludf.DUMMYFUNCTION("googlefinance(H175,""change"")"),0.12)</f>
        <v>0.12</v>
      </c>
      <c r="L175" s="27">
        <f t="shared" ca="1" si="94"/>
        <v>9.1266719118804074E-2</v>
      </c>
      <c r="M175" s="27">
        <f t="shared" ca="1" si="95"/>
        <v>8.4976597554215869E-2</v>
      </c>
      <c r="N175" s="28" t="s">
        <v>31</v>
      </c>
      <c r="O175" s="28" t="s">
        <v>32</v>
      </c>
      <c r="P175" s="28" t="s">
        <v>32</v>
      </c>
      <c r="Q175" s="29">
        <v>0.57999999999999996</v>
      </c>
      <c r="R175" s="64">
        <v>46249</v>
      </c>
      <c r="S175" s="61">
        <v>47345</v>
      </c>
      <c r="T175" s="50" t="s">
        <v>33</v>
      </c>
      <c r="U175" s="16">
        <f t="shared" ca="1" si="47"/>
        <v>1.0986301369863014</v>
      </c>
      <c r="V175" s="11" t="str">
        <v>All</v>
      </c>
      <c r="X175">
        <f t="shared" ca="1" si="70"/>
        <v>7.4906189472485007E-2</v>
      </c>
      <c r="Z175" s="17">
        <f t="shared" ca="1" si="71"/>
        <v>46213</v>
      </c>
      <c r="AG175" s="33">
        <f t="shared" ca="1" si="72"/>
        <v>8.3293954669482057E-2</v>
      </c>
      <c r="AH175">
        <f t="shared" ca="1" si="73"/>
        <v>8.830491724528175E-2</v>
      </c>
      <c r="AI175">
        <f t="shared" ca="1" si="74"/>
        <v>8.9244030368652402E-2</v>
      </c>
      <c r="AJ175">
        <f t="shared" ca="1" si="75"/>
        <v>8.9933478866584454E-2</v>
      </c>
      <c r="AK175">
        <f t="shared" ca="1" si="76"/>
        <v>9.0670663682197672E-2</v>
      </c>
    </row>
    <row r="176" spans="1:37" ht="17.25" customHeight="1">
      <c r="A176" s="19"/>
      <c r="B176" s="45" t="s">
        <v>188</v>
      </c>
      <c r="C176" s="28" t="s">
        <v>35</v>
      </c>
      <c r="D176" s="28" t="s">
        <v>27</v>
      </c>
      <c r="E176" s="28" t="s">
        <v>44</v>
      </c>
      <c r="F176" s="28" t="s">
        <v>46</v>
      </c>
      <c r="G176" s="28" t="s">
        <v>38</v>
      </c>
      <c r="H176" s="66" t="str">
        <f>HYPERLINK("https://innovativeincomeinvestor.com/security/chimera-investment-corp-8-series-b-fixed-to-floating-rate-cumulative-redeemable-preferred-stock/","CIM-B")</f>
        <v>CIM-B</v>
      </c>
      <c r="I176" s="47">
        <v>0.08</v>
      </c>
      <c r="J176" s="65">
        <f ca="1">IFERROR(__xludf.DUMMYFUNCTION("GoogleFinance(H176)"),24.95)</f>
        <v>24.95</v>
      </c>
      <c r="K176" s="67">
        <f ca="1">IFERROR(__xludf.DUMMYFUNCTION("googlefinance(H176,""change"")"),-0.03)</f>
        <v>-0.03</v>
      </c>
      <c r="L176" s="52" t="s">
        <v>47</v>
      </c>
      <c r="M176" s="52" t="s">
        <v>47</v>
      </c>
      <c r="N176" s="28" t="s">
        <v>31</v>
      </c>
      <c r="O176" s="28" t="s">
        <v>32</v>
      </c>
      <c r="P176" s="28" t="s">
        <v>32</v>
      </c>
      <c r="Q176" s="52" t="s">
        <v>47</v>
      </c>
      <c r="R176" s="53">
        <v>45381</v>
      </c>
      <c r="S176" s="54" t="s">
        <v>41</v>
      </c>
      <c r="T176" s="50" t="s">
        <v>56</v>
      </c>
      <c r="U176" s="16">
        <f t="shared" ca="1" si="47"/>
        <v>-1.2794520547945205</v>
      </c>
      <c r="V176" s="11" t="str">
        <v>All</v>
      </c>
      <c r="X176">
        <f t="shared" ca="1" si="70"/>
        <v>8.2103672087329924E-2</v>
      </c>
      <c r="Z176" s="17">
        <f t="shared" ca="1" si="71"/>
        <v>46213</v>
      </c>
      <c r="AG176" s="33">
        <f t="shared" ca="1" si="72"/>
        <v>8.1093365247471516E-2</v>
      </c>
      <c r="AH176">
        <f t="shared" ca="1" si="73"/>
        <v>8.0489518742486818E-2</v>
      </c>
      <c r="AI176">
        <f t="shared" ca="1" si="74"/>
        <v>8.0375786994084528E-2</v>
      </c>
      <c r="AJ176">
        <f t="shared" ca="1" si="75"/>
        <v>8.0292296974806665E-2</v>
      </c>
      <c r="AK176">
        <f t="shared" ca="1" si="76"/>
        <v>8.0200596228889059E-2</v>
      </c>
    </row>
    <row r="177" spans="1:37" ht="17.25" customHeight="1">
      <c r="A177" s="19"/>
      <c r="B177" s="45" t="s">
        <v>188</v>
      </c>
      <c r="C177" s="28" t="s">
        <v>35</v>
      </c>
      <c r="D177" s="28" t="s">
        <v>27</v>
      </c>
      <c r="E177" s="28" t="s">
        <v>44</v>
      </c>
      <c r="F177" s="28" t="s">
        <v>46</v>
      </c>
      <c r="G177" s="28" t="s">
        <v>38</v>
      </c>
      <c r="H177" s="51" t="str">
        <f>HYPERLINK("https://innovativeincomeinvestor.com/security/chimera-investment-corporation-8-series-d-fixed-to-floating-rate-cumulative-redeemable-preferred-stock/","CIM-D")</f>
        <v>CIM-D</v>
      </c>
      <c r="I177" s="47">
        <v>0.08</v>
      </c>
      <c r="J177" s="65">
        <f ca="1">IFERROR(__xludf.DUMMYFUNCTION("GoogleFinance(H177)"),24.57)</f>
        <v>24.57</v>
      </c>
      <c r="K177" s="67">
        <f ca="1">IFERROR(__xludf.DUMMYFUNCTION("googlefinance(H177,""change"")"),0.1)</f>
        <v>0.1</v>
      </c>
      <c r="L177" s="52" t="s">
        <v>47</v>
      </c>
      <c r="M177" s="52" t="s">
        <v>47</v>
      </c>
      <c r="N177" s="28" t="s">
        <v>31</v>
      </c>
      <c r="O177" s="28" t="s">
        <v>32</v>
      </c>
      <c r="P177" s="28" t="s">
        <v>32</v>
      </c>
      <c r="Q177" s="52" t="s">
        <v>47</v>
      </c>
      <c r="R177" s="53">
        <v>45381</v>
      </c>
      <c r="S177" s="54" t="s">
        <v>41</v>
      </c>
      <c r="T177" s="146" t="s">
        <v>56</v>
      </c>
      <c r="U177" s="16">
        <f t="shared" ca="1" si="47"/>
        <v>-1.2794520547945205</v>
      </c>
      <c r="V177" s="11" t="str">
        <v>All</v>
      </c>
      <c r="X177">
        <f t="shared" ca="1" si="70"/>
        <v>9.8269211425888375E-2</v>
      </c>
      <c r="Z177" s="17">
        <f t="shared" ca="1" si="71"/>
        <v>46213</v>
      </c>
      <c r="AG177" s="33">
        <f t="shared" ca="1" si="72"/>
        <v>8.9488134718399059E-2</v>
      </c>
      <c r="AH177">
        <f t="shared" ca="1" si="73"/>
        <v>8.4252210291169874E-2</v>
      </c>
      <c r="AI177">
        <f t="shared" ca="1" si="74"/>
        <v>8.3268281662712704E-2</v>
      </c>
      <c r="AJ177">
        <f t="shared" ca="1" si="75"/>
        <v>8.2543425856102734E-2</v>
      </c>
      <c r="AK177">
        <f t="shared" ca="1" si="76"/>
        <v>8.1753111295094397E-2</v>
      </c>
    </row>
    <row r="178" spans="1:37" ht="17.25" customHeight="1">
      <c r="A178" s="19"/>
      <c r="B178" s="45" t="s">
        <v>188</v>
      </c>
      <c r="C178" s="28" t="s">
        <v>35</v>
      </c>
      <c r="D178" s="28" t="s">
        <v>27</v>
      </c>
      <c r="E178" s="28" t="s">
        <v>44</v>
      </c>
      <c r="F178" s="28" t="s">
        <v>46</v>
      </c>
      <c r="G178" s="28" t="s">
        <v>38</v>
      </c>
      <c r="H178" s="147" t="str">
        <f>HYPERLINK("https://innovativeincomeinvestor.com/security/chimera-investment-corp-7-75-series-c-fixed-to-floating-rate-cumulative-redeemable-preferred-stock/","CIM-C")</f>
        <v>CIM-C</v>
      </c>
      <c r="I178" s="47">
        <v>7.7499999999999999E-2</v>
      </c>
      <c r="J178" s="65">
        <f ca="1">IFERROR(__xludf.DUMMYFUNCTION("GoogleFinance(H178)"),22.75)</f>
        <v>22.75</v>
      </c>
      <c r="K178" s="67">
        <f ca="1">IFERROR(__xludf.DUMMYFUNCTION("googlefinance(H178,""change"")"),-0.08)</f>
        <v>-0.08</v>
      </c>
      <c r="L178" s="27">
        <f t="shared" ref="L178:L183" ca="1" si="96">(Q178*4)/J178</f>
        <v>8.5164835164835168E-2</v>
      </c>
      <c r="M178" s="27">
        <f t="array" aca="1" ref="M178" ca="1">L178*U178+(25-J178)/25/U178</f>
        <v>0.41974267797020892</v>
      </c>
      <c r="N178" s="28" t="s">
        <v>31</v>
      </c>
      <c r="O178" s="28" t="s">
        <v>32</v>
      </c>
      <c r="P178" s="28" t="s">
        <v>32</v>
      </c>
      <c r="Q178" s="29">
        <f t="shared" ref="Q178:Q183" si="97">(I178*25)/4</f>
        <v>0.484375</v>
      </c>
      <c r="R178" s="53">
        <v>45930</v>
      </c>
      <c r="S178" s="54" t="s">
        <v>41</v>
      </c>
      <c r="T178" s="146" t="s">
        <v>56</v>
      </c>
      <c r="U178" s="16">
        <f t="shared" ca="1" si="47"/>
        <v>0.22465753424657534</v>
      </c>
      <c r="V178" s="11" t="str">
        <v>All</v>
      </c>
      <c r="X178">
        <f t="shared" ca="1" si="70"/>
        <v>0.17771354055696267</v>
      </c>
      <c r="Z178" s="17">
        <f t="shared" ca="1" si="71"/>
        <v>46213</v>
      </c>
      <c r="AG178" s="33">
        <f t="shared" ca="1" si="72"/>
        <v>0.12928783866229629</v>
      </c>
      <c r="AH178">
        <f t="shared" ca="1" si="73"/>
        <v>0.10063696529122562</v>
      </c>
      <c r="AI178">
        <f t="shared" ca="1" si="74"/>
        <v>9.5273545965423978E-2</v>
      </c>
      <c r="AJ178">
        <f t="shared" ca="1" si="75"/>
        <v>9.1326298483749666E-2</v>
      </c>
      <c r="AK178">
        <f t="shared" ca="1" si="76"/>
        <v>8.7039144574333038E-2</v>
      </c>
    </row>
    <row r="179" spans="1:37" ht="17.25" customHeight="1">
      <c r="A179" s="19"/>
      <c r="B179" s="45" t="s">
        <v>189</v>
      </c>
      <c r="C179" s="36" t="s">
        <v>35</v>
      </c>
      <c r="D179" s="36" t="s">
        <v>35</v>
      </c>
      <c r="E179" s="28" t="s">
        <v>190</v>
      </c>
      <c r="F179" s="28" t="s">
        <v>29</v>
      </c>
      <c r="G179" s="28" t="s">
        <v>38</v>
      </c>
      <c r="H179" s="66" t="str">
        <f>HYPERLINK("https://innovativeincomeinvestor.com/security/chs-inc-8-00-cumulative-redeemable-preferred-stock/","CHSCP")</f>
        <v>CHSCP</v>
      </c>
      <c r="I179" s="47">
        <v>0.08</v>
      </c>
      <c r="J179" s="65">
        <f ca="1">IFERROR(__xludf.DUMMYFUNCTION("GoogleFinance(H179)"),27.7)</f>
        <v>27.7</v>
      </c>
      <c r="K179" s="67">
        <f ca="1">IFERROR(__xludf.DUMMYFUNCTION("googlefinance(H179,""change"")"),-0.03)</f>
        <v>-0.03</v>
      </c>
      <c r="L179" s="27">
        <f t="shared" ca="1" si="96"/>
        <v>7.2202166064981949E-2</v>
      </c>
      <c r="M179" s="27">
        <f ca="1">(25-J179)/25</f>
        <v>-0.10799999999999997</v>
      </c>
      <c r="N179" s="28" t="s">
        <v>31</v>
      </c>
      <c r="O179" s="28" t="s">
        <v>32</v>
      </c>
      <c r="P179" s="28" t="s">
        <v>32</v>
      </c>
      <c r="Q179" s="29">
        <f t="shared" si="97"/>
        <v>0.5</v>
      </c>
      <c r="R179" s="64">
        <v>45125</v>
      </c>
      <c r="S179" s="54" t="s">
        <v>41</v>
      </c>
      <c r="T179" s="50" t="s">
        <v>42</v>
      </c>
      <c r="U179" s="16">
        <f t="shared" ca="1" si="47"/>
        <v>-1.9808219178082191</v>
      </c>
      <c r="V179" s="11" t="str">
        <v>All</v>
      </c>
      <c r="X179">
        <f t="shared" ca="1" si="70"/>
        <v>-2.6234966148705581E-2</v>
      </c>
      <c r="Z179" s="17">
        <f t="shared" ca="1" si="71"/>
        <v>46213</v>
      </c>
      <c r="AG179" s="33">
        <f t="shared" ca="1" si="72"/>
        <v>2.4500962862002953E-2</v>
      </c>
      <c r="AH179">
        <f t="shared" ca="1" si="73"/>
        <v>5.5126649358277165E-2</v>
      </c>
      <c r="AI179">
        <f t="shared" ca="1" si="74"/>
        <v>6.0920428640430131E-2</v>
      </c>
      <c r="AJ179">
        <f t="shared" ca="1" si="75"/>
        <v>6.5207688819216625E-2</v>
      </c>
      <c r="AK179">
        <f t="shared" ca="1" si="76"/>
        <v>6.9926977494070161E-2</v>
      </c>
    </row>
    <row r="180" spans="1:37" ht="17.25" customHeight="1">
      <c r="A180" s="19"/>
      <c r="B180" s="45" t="s">
        <v>189</v>
      </c>
      <c r="C180" s="36" t="s">
        <v>35</v>
      </c>
      <c r="D180" s="36" t="s">
        <v>35</v>
      </c>
      <c r="E180" s="28" t="s">
        <v>190</v>
      </c>
      <c r="F180" s="28" t="s">
        <v>29</v>
      </c>
      <c r="G180" s="28" t="s">
        <v>38</v>
      </c>
      <c r="H180" s="66" t="str">
        <f>HYPERLINK("https://innovativeincomeinvestor.com/security/chs-inc-7-50-class-b-cumulative-redeemable-preferred-stock-series-4/","CHSCL")</f>
        <v>CHSCL</v>
      </c>
      <c r="I180" s="47">
        <v>7.4999999999999997E-2</v>
      </c>
      <c r="J180" s="65">
        <f ca="1">IFERROR(__xludf.DUMMYFUNCTION("GoogleFinance(H180)"),25.42)</f>
        <v>25.42</v>
      </c>
      <c r="K180" s="67">
        <f ca="1">IFERROR(__xludf.DUMMYFUNCTION("googlefinance(H180,""change"")"),-0.05)</f>
        <v>-0.05</v>
      </c>
      <c r="L180" s="27">
        <f t="shared" ca="1" si="96"/>
        <v>7.3760818253343824E-2</v>
      </c>
      <c r="M180" s="27">
        <f t="array" aca="1" ref="M180" ca="1">L180*U180+(25-J180)/25/U180</f>
        <v>1.716234528257414E-3</v>
      </c>
      <c r="N180" s="28" t="s">
        <v>31</v>
      </c>
      <c r="O180" s="28" t="s">
        <v>32</v>
      </c>
      <c r="P180" s="28" t="s">
        <v>32</v>
      </c>
      <c r="Q180" s="29">
        <f t="shared" si="97"/>
        <v>0.46875</v>
      </c>
      <c r="R180" s="53">
        <v>45678</v>
      </c>
      <c r="S180" s="54" t="s">
        <v>41</v>
      </c>
      <c r="T180" s="50" t="s">
        <v>42</v>
      </c>
      <c r="U180" s="16">
        <f t="shared" ca="1" si="47"/>
        <v>-0.46575342465753422</v>
      </c>
      <c r="V180" s="11" t="str">
        <v>All</v>
      </c>
      <c r="X180">
        <f t="shared" ca="1" si="70"/>
        <v>5.75909728802853E-2</v>
      </c>
      <c r="Z180" s="17">
        <f t="shared" ca="1" si="71"/>
        <v>46213</v>
      </c>
      <c r="AG180" s="33">
        <f t="shared" ca="1" si="72"/>
        <v>6.5964741061715473E-2</v>
      </c>
      <c r="AH180">
        <f t="shared" ca="1" si="73"/>
        <v>7.0976890693538269E-2</v>
      </c>
      <c r="AI180">
        <f t="shared" ca="1" si="74"/>
        <v>7.1921762419493537E-2</v>
      </c>
      <c r="AJ180">
        <f t="shared" ca="1" si="75"/>
        <v>7.2620813630883033E-2</v>
      </c>
      <c r="AK180">
        <f t="shared" ca="1" si="76"/>
        <v>7.3390064357340801E-2</v>
      </c>
    </row>
    <row r="181" spans="1:37" ht="17.25" customHeight="1">
      <c r="A181" s="19"/>
      <c r="B181" s="45" t="s">
        <v>189</v>
      </c>
      <c r="C181" s="36" t="s">
        <v>35</v>
      </c>
      <c r="D181" s="36" t="s">
        <v>35</v>
      </c>
      <c r="E181" s="28" t="s">
        <v>190</v>
      </c>
      <c r="F181" s="28" t="s">
        <v>29</v>
      </c>
      <c r="G181" s="28" t="s">
        <v>38</v>
      </c>
      <c r="H181" s="66" t="str">
        <f>HYPERLINK("https://innovativeincomeinvestor.com/security/chs-inc-7-875-class-b-cumulative-redeemable-preferred-stock-series-1/","CHSCO")</f>
        <v>CHSCO</v>
      </c>
      <c r="I181" s="47">
        <v>7.8750000000000001E-2</v>
      </c>
      <c r="J181" s="65">
        <f ca="1">IFERROR(__xludf.DUMMYFUNCTION("GoogleFinance(H181)"),26.2)</f>
        <v>26.2</v>
      </c>
      <c r="K181" s="67">
        <f ca="1">IFERROR(__xludf.DUMMYFUNCTION("googlefinance(H181,""change"")"),-0.05)</f>
        <v>-0.05</v>
      </c>
      <c r="L181" s="27">
        <f t="shared" ca="1" si="96"/>
        <v>7.514312977099237E-2</v>
      </c>
      <c r="M181" s="27">
        <f t="shared" ref="M181:M182" ca="1" si="98">(25-J181)/25</f>
        <v>-4.7999999999999973E-2</v>
      </c>
      <c r="N181" s="28" t="s">
        <v>31</v>
      </c>
      <c r="O181" s="28" t="s">
        <v>32</v>
      </c>
      <c r="P181" s="28" t="s">
        <v>32</v>
      </c>
      <c r="Q181" s="29">
        <f t="shared" si="97"/>
        <v>0.4921875</v>
      </c>
      <c r="R181" s="53">
        <v>45195</v>
      </c>
      <c r="S181" s="54" t="s">
        <v>41</v>
      </c>
      <c r="T181" s="50" t="s">
        <v>42</v>
      </c>
      <c r="U181" s="16">
        <f t="shared" ca="1" si="47"/>
        <v>-1.789041095890411</v>
      </c>
      <c r="V181" s="11" t="str">
        <v>All</v>
      </c>
      <c r="X181">
        <f t="shared" ca="1" si="70"/>
        <v>2.9851136767338225E-2</v>
      </c>
      <c r="Z181" s="17">
        <f t="shared" ca="1" si="71"/>
        <v>46213</v>
      </c>
      <c r="AG181" s="33">
        <f t="shared" ca="1" si="72"/>
        <v>5.3288986466507149E-2</v>
      </c>
      <c r="AH181">
        <f t="shared" ca="1" si="73"/>
        <v>6.7357245867428514E-2</v>
      </c>
      <c r="AI181">
        <f t="shared" ca="1" si="74"/>
        <v>7.0011167743274635E-2</v>
      </c>
      <c r="AJ181">
        <f t="shared" ca="1" si="75"/>
        <v>7.1972837978429363E-2</v>
      </c>
      <c r="AK181">
        <f t="shared" ca="1" si="76"/>
        <v>7.4125840686769931E-2</v>
      </c>
    </row>
    <row r="182" spans="1:37" ht="17.25" customHeight="1">
      <c r="A182" s="19"/>
      <c r="B182" s="45" t="s">
        <v>189</v>
      </c>
      <c r="C182" s="36" t="s">
        <v>35</v>
      </c>
      <c r="D182" s="36" t="s">
        <v>35</v>
      </c>
      <c r="E182" s="28" t="s">
        <v>190</v>
      </c>
      <c r="F182" s="52" t="s">
        <v>191</v>
      </c>
      <c r="G182" s="28" t="s">
        <v>38</v>
      </c>
      <c r="H182" s="66" t="str">
        <f>HYPERLINK("https://innovativeincomeinvestor.com/security/chs-inc-7-10-class-b-reset-rate-cumul-redeemable-preferred-stock-series-2/","CHSCN")</f>
        <v>CHSCN</v>
      </c>
      <c r="I182" s="47">
        <v>7.0999999999999994E-2</v>
      </c>
      <c r="J182" s="65">
        <f ca="1">IFERROR(__xludf.DUMMYFUNCTION("GoogleFinance(H182)"),24.71)</f>
        <v>24.71</v>
      </c>
      <c r="K182" s="67">
        <f ca="1">IFERROR(__xludf.DUMMYFUNCTION("googlefinance(H182,""change"")"),-0.04)</f>
        <v>-0.04</v>
      </c>
      <c r="L182" s="27">
        <f t="shared" ca="1" si="96"/>
        <v>7.1833265884257383E-2</v>
      </c>
      <c r="M182" s="27">
        <f t="shared" ca="1" si="98"/>
        <v>1.1599999999999966E-2</v>
      </c>
      <c r="N182" s="28" t="s">
        <v>31</v>
      </c>
      <c r="O182" s="28" t="s">
        <v>32</v>
      </c>
      <c r="P182" s="28" t="s">
        <v>32</v>
      </c>
      <c r="Q182" s="29">
        <f t="shared" si="97"/>
        <v>0.44374999999999998</v>
      </c>
      <c r="R182" s="53">
        <v>45382</v>
      </c>
      <c r="S182" s="54" t="s">
        <v>41</v>
      </c>
      <c r="T182" s="50" t="s">
        <v>42</v>
      </c>
      <c r="U182" s="16">
        <f t="shared" ca="1" si="47"/>
        <v>-1.2767123287671234</v>
      </c>
      <c r="V182" s="11" t="str">
        <v>All</v>
      </c>
      <c r="X182">
        <f t="shared" ca="1" si="70"/>
        <v>8.3209478308164067E-2</v>
      </c>
      <c r="Z182" s="17">
        <f t="shared" ca="1" si="71"/>
        <v>46213</v>
      </c>
      <c r="AG182" s="33">
        <f t="shared" ca="1" si="72"/>
        <v>7.7315748596090972E-2</v>
      </c>
      <c r="AH182">
        <f t="shared" ca="1" si="73"/>
        <v>7.3796236387737732E-2</v>
      </c>
      <c r="AI182">
        <f t="shared" ca="1" si="74"/>
        <v>7.3132786726281721E-2</v>
      </c>
      <c r="AJ182">
        <f t="shared" ca="1" si="75"/>
        <v>7.2642079575625323E-2</v>
      </c>
      <c r="AK182">
        <f t="shared" ca="1" si="76"/>
        <v>7.2099316763173465E-2</v>
      </c>
    </row>
    <row r="183" spans="1:37" ht="17.25" customHeight="1">
      <c r="A183" s="19"/>
      <c r="B183" s="45" t="s">
        <v>189</v>
      </c>
      <c r="C183" s="36" t="s">
        <v>35</v>
      </c>
      <c r="D183" s="36" t="s">
        <v>35</v>
      </c>
      <c r="E183" s="28" t="s">
        <v>190</v>
      </c>
      <c r="F183" s="52" t="s">
        <v>191</v>
      </c>
      <c r="G183" s="28" t="s">
        <v>38</v>
      </c>
      <c r="H183" s="66" t="str">
        <f>HYPERLINK("https://innovativeincomeinvestor.com/security/chs-inc-6-75-class-b-reset-rate-cumul-redeemable-preferred-stock-series-3/","CHSCM")</f>
        <v>CHSCM</v>
      </c>
      <c r="I183" s="47">
        <v>6.7500000000000004E-2</v>
      </c>
      <c r="J183" s="65">
        <f ca="1">IFERROR(__xludf.DUMMYFUNCTION("GoogleFinance(H183)"),23.94)</f>
        <v>23.94</v>
      </c>
      <c r="K183" s="67">
        <f ca="1">IFERROR(__xludf.DUMMYFUNCTION("googlefinance(H183,""change"")"),-0.06)</f>
        <v>-0.06</v>
      </c>
      <c r="L183" s="27">
        <f t="shared" ca="1" si="96"/>
        <v>7.0488721804511281E-2</v>
      </c>
      <c r="M183" s="27">
        <f t="array" aca="1" ref="M183" ca="1">L183*U183+(25-J183)/25/U183</f>
        <v>-0.10933841173920807</v>
      </c>
      <c r="N183" s="28" t="s">
        <v>31</v>
      </c>
      <c r="O183" s="28" t="s">
        <v>32</v>
      </c>
      <c r="P183" s="28" t="s">
        <v>32</v>
      </c>
      <c r="Q183" s="29">
        <f t="shared" si="97"/>
        <v>0.421875</v>
      </c>
      <c r="R183" s="53">
        <v>45565</v>
      </c>
      <c r="S183" s="54" t="s">
        <v>41</v>
      </c>
      <c r="T183" s="50" t="s">
        <v>42</v>
      </c>
      <c r="U183" s="16">
        <f t="shared" ca="1" si="47"/>
        <v>-0.77534246575342469</v>
      </c>
      <c r="V183" s="11" t="str">
        <v>All</v>
      </c>
      <c r="X183">
        <f t="shared" ca="1" si="70"/>
        <v>0.11293441567960916</v>
      </c>
      <c r="Z183" s="17">
        <f t="shared" ca="1" si="71"/>
        <v>46213</v>
      </c>
      <c r="AG183" s="33">
        <f t="shared" ca="1" si="72"/>
        <v>9.0925406241878184E-2</v>
      </c>
      <c r="AH183">
        <f t="shared" ca="1" si="73"/>
        <v>7.7822026044748402E-2</v>
      </c>
      <c r="AI183">
        <f t="shared" ca="1" si="74"/>
        <v>7.5354148884798453E-2</v>
      </c>
      <c r="AJ183">
        <f t="shared" ca="1" si="75"/>
        <v>7.352705921747528E-2</v>
      </c>
      <c r="AK183">
        <f t="shared" ca="1" si="76"/>
        <v>7.150190422089725E-2</v>
      </c>
    </row>
    <row r="184" spans="1:37" ht="17.25" customHeight="1">
      <c r="A184" s="19"/>
      <c r="B184" s="45" t="s">
        <v>192</v>
      </c>
      <c r="C184" s="28" t="s">
        <v>27</v>
      </c>
      <c r="D184" s="28" t="s">
        <v>35</v>
      </c>
      <c r="E184" s="28" t="s">
        <v>110</v>
      </c>
      <c r="F184" s="28" t="s">
        <v>46</v>
      </c>
      <c r="G184" s="28" t="s">
        <v>38</v>
      </c>
      <c r="H184" s="51" t="str">
        <f>HYPERLINK("https://innovativeincomeinvestor.com/security/citigroup-inc-7-125-dep-shares-fixedfloat-non-cumul-preferred-stock-ser-j/","C-J")</f>
        <v>C-J</v>
      </c>
      <c r="I184" s="85">
        <v>7.1249999999999994E-2</v>
      </c>
      <c r="J184" s="86" t="s">
        <v>68</v>
      </c>
      <c r="K184" s="87" t="s">
        <v>68</v>
      </c>
      <c r="L184" s="88" t="s">
        <v>68</v>
      </c>
      <c r="M184" s="88" t="s">
        <v>68</v>
      </c>
      <c r="N184" s="28" t="s">
        <v>31</v>
      </c>
      <c r="O184" s="28" t="s">
        <v>69</v>
      </c>
      <c r="P184" s="28" t="s">
        <v>83</v>
      </c>
      <c r="Q184" s="52" t="s">
        <v>47</v>
      </c>
      <c r="R184" s="53">
        <v>45199</v>
      </c>
      <c r="S184" s="54" t="s">
        <v>41</v>
      </c>
      <c r="T184" s="50" t="s">
        <v>56</v>
      </c>
      <c r="U184" s="16">
        <f t="shared" ca="1" si="47"/>
        <v>-1.7780821917808218</v>
      </c>
      <c r="V184" s="11" t="str">
        <v>All</v>
      </c>
      <c r="X184" t="e">
        <f t="shared" ca="1" si="70"/>
        <v>#VALUE!</v>
      </c>
      <c r="Z184" s="17">
        <f t="shared" ca="1" si="71"/>
        <v>46213</v>
      </c>
      <c r="AG184" s="33" t="e">
        <f t="shared" ca="1" si="72"/>
        <v>#VALUE!</v>
      </c>
      <c r="AH184" t="e">
        <f t="shared" ca="1" si="73"/>
        <v>#VALUE!</v>
      </c>
      <c r="AI184" t="e">
        <f t="shared" ca="1" si="74"/>
        <v>#VALUE!</v>
      </c>
      <c r="AJ184" t="e">
        <f t="shared" ca="1" si="75"/>
        <v>#VALUE!</v>
      </c>
      <c r="AK184" t="e">
        <f t="shared" ca="1" si="76"/>
        <v>#VALUE!</v>
      </c>
    </row>
    <row r="185" spans="1:37" ht="17.25" customHeight="1">
      <c r="A185" s="19"/>
      <c r="B185" s="45" t="s">
        <v>192</v>
      </c>
      <c r="C185" s="28" t="s">
        <v>27</v>
      </c>
      <c r="D185" s="28" t="s">
        <v>35</v>
      </c>
      <c r="E185" s="28" t="s">
        <v>110</v>
      </c>
      <c r="F185" s="28" t="s">
        <v>46</v>
      </c>
      <c r="G185" s="28" t="s">
        <v>38</v>
      </c>
      <c r="H185" s="66" t="str">
        <f>HYPERLINK("https://innovativeincomeinvestor.com/security/citigroup-inc-6-875-dep-shares-fixedfloat-non-cumul-preferred-stock-series-k/","C-K")</f>
        <v>C-K</v>
      </c>
      <c r="I185" s="85">
        <v>6.8750000000000006E-2</v>
      </c>
      <c r="J185" s="86" t="s">
        <v>68</v>
      </c>
      <c r="K185" s="87" t="s">
        <v>68</v>
      </c>
      <c r="L185" s="88" t="s">
        <v>68</v>
      </c>
      <c r="M185" s="88" t="s">
        <v>68</v>
      </c>
      <c r="N185" s="28" t="s">
        <v>31</v>
      </c>
      <c r="O185" s="28" t="s">
        <v>69</v>
      </c>
      <c r="P185" s="28" t="s">
        <v>83</v>
      </c>
      <c r="Q185" s="29">
        <f t="shared" ref="Q185:Q187" si="99">(I185*25)/4</f>
        <v>0.42968750000000006</v>
      </c>
      <c r="R185" s="53">
        <v>45245</v>
      </c>
      <c r="S185" s="54" t="s">
        <v>41</v>
      </c>
      <c r="T185" s="62" t="s">
        <v>140</v>
      </c>
      <c r="U185" s="16">
        <f t="shared" ca="1" si="47"/>
        <v>-1.6520547945205479</v>
      </c>
      <c r="V185" s="11" t="str">
        <v>All</v>
      </c>
      <c r="X185" t="e">
        <f t="shared" ca="1" si="70"/>
        <v>#VALUE!</v>
      </c>
      <c r="Z185" s="17">
        <f t="shared" ca="1" si="71"/>
        <v>46213</v>
      </c>
      <c r="AG185" s="33" t="e">
        <f t="shared" ca="1" si="72"/>
        <v>#VALUE!</v>
      </c>
      <c r="AH185" t="e">
        <f t="shared" ca="1" si="73"/>
        <v>#VALUE!</v>
      </c>
      <c r="AI185" t="e">
        <f t="shared" ca="1" si="74"/>
        <v>#VALUE!</v>
      </c>
      <c r="AJ185" t="e">
        <f t="shared" ca="1" si="75"/>
        <v>#VALUE!</v>
      </c>
      <c r="AK185" t="e">
        <f t="shared" ca="1" si="76"/>
        <v>#VALUE!</v>
      </c>
    </row>
    <row r="186" spans="1:37" ht="17.25" customHeight="1">
      <c r="A186" s="19"/>
      <c r="B186" s="84" t="s">
        <v>193</v>
      </c>
      <c r="C186" s="28" t="s">
        <v>27</v>
      </c>
      <c r="D186" s="28" t="s">
        <v>27</v>
      </c>
      <c r="E186" s="28" t="s">
        <v>110</v>
      </c>
      <c r="F186" s="28" t="s">
        <v>29</v>
      </c>
      <c r="G186" s="148" t="s">
        <v>71</v>
      </c>
      <c r="H186" s="63" t="str">
        <f>HYPERLINK("https://innovativeincomeinvestor.com/security/citigroup-capital-xiii-7-875-fixedfloating-trups-trust-preferred-securities/","C-N")</f>
        <v>C-N</v>
      </c>
      <c r="I186" s="47">
        <v>7.8750000000000001E-2</v>
      </c>
      <c r="J186" s="65">
        <f ca="1">IFERROR(__xludf.DUMMYFUNCTION("GoogleFinance(H186)"),30.28)</f>
        <v>30.28</v>
      </c>
      <c r="K186" s="98">
        <f ca="1">IFERROR(__xludf.DUMMYFUNCTION("googlefinance(H186,""change"")"),0.27)</f>
        <v>0.27</v>
      </c>
      <c r="L186" s="27">
        <f t="shared" ref="L186:L188" ca="1" si="100">(Q186*4)/J186</f>
        <v>6.5018163804491408E-2</v>
      </c>
      <c r="M186" s="27">
        <f ca="1">(25-J186)/25</f>
        <v>-0.21120000000000005</v>
      </c>
      <c r="N186" s="28" t="s">
        <v>31</v>
      </c>
      <c r="O186" s="28" t="s">
        <v>69</v>
      </c>
      <c r="P186" s="28" t="s">
        <v>83</v>
      </c>
      <c r="Q186" s="29">
        <f t="shared" si="99"/>
        <v>0.4921875</v>
      </c>
      <c r="R186" s="64">
        <v>42307</v>
      </c>
      <c r="S186" s="61">
        <v>51439</v>
      </c>
      <c r="T186" s="50" t="s">
        <v>45</v>
      </c>
      <c r="U186" s="16">
        <f t="shared" ca="1" si="47"/>
        <v>-9.7013698630136993</v>
      </c>
      <c r="V186" s="11" t="str">
        <v>All</v>
      </c>
      <c r="X186">
        <f t="shared" ca="1" si="70"/>
        <v>-0.11720848402156971</v>
      </c>
      <c r="Z186" s="17">
        <f t="shared" ca="1" si="71"/>
        <v>46213</v>
      </c>
      <c r="AG186" s="33">
        <f t="shared" ca="1" si="72"/>
        <v>-2.4016844727399872E-2</v>
      </c>
      <c r="AH186">
        <f t="shared" ca="1" si="73"/>
        <v>3.2760066397237768E-2</v>
      </c>
      <c r="AI186">
        <f t="shared" ca="1" si="74"/>
        <v>4.3558395171438356E-2</v>
      </c>
      <c r="AJ186">
        <f t="shared" ca="1" si="75"/>
        <v>5.1573010466312845E-2</v>
      </c>
      <c r="AK186">
        <f t="shared" ca="1" si="76"/>
        <v>6.0469716255024196E-2</v>
      </c>
    </row>
    <row r="187" spans="1:37" ht="17.25" customHeight="1">
      <c r="A187" s="19"/>
      <c r="B187" s="45" t="s">
        <v>194</v>
      </c>
      <c r="C187" s="28" t="s">
        <v>27</v>
      </c>
      <c r="D187" s="28" t="s">
        <v>35</v>
      </c>
      <c r="E187" s="28" t="s">
        <v>110</v>
      </c>
      <c r="F187" s="28" t="s">
        <v>29</v>
      </c>
      <c r="G187" s="28" t="s">
        <v>38</v>
      </c>
      <c r="H187" s="66" t="str">
        <f>HYPERLINK("https://innovativeincomeinvestor.com/security/citizens-financial-group-inc/","CFG-E")</f>
        <v>CFG-E</v>
      </c>
      <c r="I187" s="47">
        <v>0.05</v>
      </c>
      <c r="J187" s="25">
        <f ca="1">IFERROR(__xludf.DUMMYFUNCTION("GoogleFinance(H187)"),19.26)</f>
        <v>19.260000000000002</v>
      </c>
      <c r="K187" s="149">
        <f ca="1">IFERROR(__xludf.DUMMYFUNCTION("googlefinance(H187,""change"")"),-0.06)</f>
        <v>-0.06</v>
      </c>
      <c r="L187" s="108">
        <f t="shared" ca="1" si="100"/>
        <v>6.4901349948078918E-2</v>
      </c>
      <c r="M187" s="108">
        <f t="shared" ref="M187:M188" ca="1" si="101">L187*U187+(25-J187)/25/U187</f>
        <v>-0.48588979936279886</v>
      </c>
      <c r="N187" s="28" t="s">
        <v>39</v>
      </c>
      <c r="O187" s="28" t="s">
        <v>69</v>
      </c>
      <c r="P187" s="28" t="s">
        <v>64</v>
      </c>
      <c r="Q187" s="29">
        <f t="shared" si="99"/>
        <v>0.3125</v>
      </c>
      <c r="R187" s="53">
        <v>45663</v>
      </c>
      <c r="S187" s="54" t="s">
        <v>41</v>
      </c>
      <c r="T187" s="50" t="s">
        <v>195</v>
      </c>
      <c r="U187" s="16">
        <f t="shared" ca="1" si="47"/>
        <v>-0.50684931506849318</v>
      </c>
      <c r="V187" s="11" t="str">
        <v>All</v>
      </c>
      <c r="X187">
        <f t="shared" ca="1" si="70"/>
        <v>0.32861445891779384</v>
      </c>
      <c r="Z187" s="17">
        <f t="shared" ca="1" si="71"/>
        <v>46213</v>
      </c>
      <c r="AG187" s="33">
        <f t="shared" ca="1" si="72"/>
        <v>0.19077467411895152</v>
      </c>
      <c r="AH187">
        <f t="shared" ca="1" si="73"/>
        <v>0.11039307709543694</v>
      </c>
      <c r="AI187">
        <f t="shared" ca="1" si="74"/>
        <v>9.5355984486819534E-2</v>
      </c>
      <c r="AJ187">
        <f t="shared" ca="1" si="75"/>
        <v>8.4206875551826557E-2</v>
      </c>
      <c r="AK187">
        <f t="shared" ca="1" si="76"/>
        <v>7.170864201512879E-2</v>
      </c>
    </row>
    <row r="188" spans="1:37" ht="17.25" customHeight="1">
      <c r="A188" s="19"/>
      <c r="B188" s="45" t="s">
        <v>194</v>
      </c>
      <c r="C188" s="28" t="s">
        <v>27</v>
      </c>
      <c r="D188" s="28" t="s">
        <v>35</v>
      </c>
      <c r="E188" s="28" t="s">
        <v>110</v>
      </c>
      <c r="F188" s="28" t="s">
        <v>29</v>
      </c>
      <c r="G188" s="28" t="s">
        <v>38</v>
      </c>
      <c r="H188" s="66" t="str">
        <f>HYPERLINK("https://innovativeincomeinvestor.com/security/citizens-financial-group-inc-7-375-fixed-rate-non-cumulative-perpetual-preferred-stock/","CFG-H")</f>
        <v>CFG-H</v>
      </c>
      <c r="I188" s="47">
        <v>7.3749999999999996E-2</v>
      </c>
      <c r="J188" s="65">
        <f ca="1">IFERROR(__xludf.DUMMYFUNCTION("GoogleFinance(H188)"),26.42)</f>
        <v>26.42</v>
      </c>
      <c r="K188" s="67">
        <f ca="1">IFERROR(__xludf.DUMMYFUNCTION("googlefinance(H188,""change"")"),-0.04)</f>
        <v>-0.04</v>
      </c>
      <c r="L188" s="27">
        <f t="shared" ca="1" si="100"/>
        <v>6.9644208932626794E-2</v>
      </c>
      <c r="M188" s="27">
        <f t="shared" ca="1" si="101"/>
        <v>0.26377517941429257</v>
      </c>
      <c r="N188" s="28" t="s">
        <v>39</v>
      </c>
      <c r="O188" s="28" t="s">
        <v>69</v>
      </c>
      <c r="P188" s="28" t="s">
        <v>64</v>
      </c>
      <c r="Q188" s="29">
        <v>0.46</v>
      </c>
      <c r="R188" s="64">
        <v>47305</v>
      </c>
      <c r="S188" s="54" t="s">
        <v>86</v>
      </c>
      <c r="T188" s="62" t="s">
        <v>195</v>
      </c>
      <c r="U188" s="16">
        <f t="shared" ca="1" si="47"/>
        <v>3.9917808219178084</v>
      </c>
      <c r="V188" s="11" t="str">
        <v>All</v>
      </c>
      <c r="X188">
        <f t="shared" ca="1" si="70"/>
        <v>1.636775819359328E-2</v>
      </c>
      <c r="Z188" s="17">
        <f t="shared" ca="1" si="71"/>
        <v>46213</v>
      </c>
      <c r="AG188" s="33">
        <f t="shared" ca="1" si="72"/>
        <v>4.3928599004361191E-2</v>
      </c>
      <c r="AH188">
        <f t="shared" ca="1" si="73"/>
        <v>6.0493790475157343E-2</v>
      </c>
      <c r="AI188">
        <f t="shared" ca="1" si="74"/>
        <v>6.3624811032259615E-2</v>
      </c>
      <c r="AJ188">
        <f t="shared" ca="1" si="75"/>
        <v>6.5944252686605351E-2</v>
      </c>
      <c r="AK188">
        <f t="shared" ca="1" si="76"/>
        <v>6.8510013390852387E-2</v>
      </c>
    </row>
    <row r="189" spans="1:37" ht="17.25" customHeight="1">
      <c r="A189" s="19"/>
      <c r="B189" s="45" t="s">
        <v>194</v>
      </c>
      <c r="C189" s="28" t="s">
        <v>27</v>
      </c>
      <c r="D189" s="28" t="s">
        <v>35</v>
      </c>
      <c r="E189" s="28" t="s">
        <v>110</v>
      </c>
      <c r="F189" s="28" t="s">
        <v>46</v>
      </c>
      <c r="G189" s="28" t="s">
        <v>38</v>
      </c>
      <c r="H189" s="51" t="str">
        <f>HYPERLINK("https://innovativeincomeinvestor.com/security/citizens-financial-group-6-35-fixed-to-floating-rate-non-cumulative-perpetual-preferred-stock-series-d/","CFG-D")</f>
        <v>CFG-D</v>
      </c>
      <c r="I189" s="47">
        <v>6.3500000000000001E-2</v>
      </c>
      <c r="J189" s="86" t="s">
        <v>68</v>
      </c>
      <c r="K189" s="86" t="s">
        <v>68</v>
      </c>
      <c r="L189" s="86" t="s">
        <v>68</v>
      </c>
      <c r="M189" s="86" t="s">
        <v>68</v>
      </c>
      <c r="N189" s="28" t="s">
        <v>39</v>
      </c>
      <c r="O189" s="28" t="s">
        <v>69</v>
      </c>
      <c r="P189" s="28" t="s">
        <v>64</v>
      </c>
      <c r="Q189" s="29">
        <f t="shared" ref="Q189:Q193" si="102">(I189*25)/4</f>
        <v>0.39687499999999998</v>
      </c>
      <c r="R189" s="53">
        <v>45479</v>
      </c>
      <c r="S189" s="54" t="s">
        <v>41</v>
      </c>
      <c r="T189" s="50" t="s">
        <v>195</v>
      </c>
      <c r="U189" s="16">
        <f t="shared" ca="1" si="47"/>
        <v>-1.010958904109589</v>
      </c>
      <c r="V189" s="11" t="str">
        <v>All</v>
      </c>
      <c r="X189" t="e">
        <f t="shared" ca="1" si="70"/>
        <v>#VALUE!</v>
      </c>
      <c r="Z189" s="17">
        <f t="shared" ca="1" si="71"/>
        <v>46213</v>
      </c>
      <c r="AG189" s="33" t="e">
        <f t="shared" ca="1" si="72"/>
        <v>#VALUE!</v>
      </c>
      <c r="AH189" t="e">
        <f t="shared" ca="1" si="73"/>
        <v>#VALUE!</v>
      </c>
      <c r="AI189" t="e">
        <f t="shared" ca="1" si="74"/>
        <v>#VALUE!</v>
      </c>
      <c r="AJ189" t="e">
        <f t="shared" ca="1" si="75"/>
        <v>#VALUE!</v>
      </c>
      <c r="AK189" t="e">
        <f t="shared" ca="1" si="76"/>
        <v>#VALUE!</v>
      </c>
    </row>
    <row r="190" spans="1:37" ht="17.25" customHeight="1">
      <c r="A190" s="19"/>
      <c r="B190" s="45" t="s">
        <v>196</v>
      </c>
      <c r="C190" s="28" t="s">
        <v>35</v>
      </c>
      <c r="D190" s="28" t="s">
        <v>197</v>
      </c>
      <c r="E190" s="28" t="s">
        <v>63</v>
      </c>
      <c r="F190" s="28" t="s">
        <v>29</v>
      </c>
      <c r="G190" s="28" t="s">
        <v>38</v>
      </c>
      <c r="H190" s="66" t="str">
        <f>HYPERLINK("https://innovativeincomeinvestor.com/security/city-office-reit-6-625-series-a-cumulative-redeemable-preferred-stock/","CIO-A")</f>
        <v>CIO-A</v>
      </c>
      <c r="I190" s="47">
        <v>6.6250000000000003E-2</v>
      </c>
      <c r="J190" s="65">
        <f ca="1">IFERROR(__xludf.DUMMYFUNCTION("GoogleFinance(H190)"),19.69)</f>
        <v>19.690000000000001</v>
      </c>
      <c r="K190" s="67">
        <f ca="1">IFERROR(__xludf.DUMMYFUNCTION("googlefinance(H190,""change"")"),0)</f>
        <v>0</v>
      </c>
      <c r="L190" s="27">
        <f t="shared" ref="L190:L199" ca="1" si="103">(Q190*4)/J190</f>
        <v>8.4116302691721684E-2</v>
      </c>
      <c r="M190" s="27">
        <f ca="1">(25-J190)/25</f>
        <v>0.21239999999999995</v>
      </c>
      <c r="N190" s="28" t="s">
        <v>31</v>
      </c>
      <c r="O190" s="28" t="s">
        <v>32</v>
      </c>
      <c r="P190" s="28" t="s">
        <v>32</v>
      </c>
      <c r="Q190" s="29">
        <f t="shared" si="102"/>
        <v>0.4140625</v>
      </c>
      <c r="R190" s="64">
        <v>44454</v>
      </c>
      <c r="S190" s="54" t="s">
        <v>41</v>
      </c>
      <c r="T190" s="62" t="s">
        <v>198</v>
      </c>
      <c r="U190" s="16">
        <f t="shared" ca="1" si="47"/>
        <v>-3.8191780821917809</v>
      </c>
      <c r="V190" s="11" t="str">
        <v>All</v>
      </c>
      <c r="X190">
        <f t="shared" ca="1" si="70"/>
        <v>0.3232219782438206</v>
      </c>
      <c r="Z190" s="17">
        <f t="shared" ca="1" si="71"/>
        <v>46213</v>
      </c>
      <c r="AG190" s="33">
        <f t="shared" ca="1" si="72"/>
        <v>0.19734981375159724</v>
      </c>
      <c r="AH190">
        <f t="shared" ca="1" si="73"/>
        <v>0.12389421260806925</v>
      </c>
      <c r="AI190">
        <f t="shared" ca="1" si="74"/>
        <v>0.11020534632624673</v>
      </c>
      <c r="AJ190">
        <f t="shared" ca="1" si="75"/>
        <v>0.10012266436848237</v>
      </c>
      <c r="AK190">
        <f t="shared" ca="1" si="76"/>
        <v>8.9100615088676186E-2</v>
      </c>
    </row>
    <row r="191" spans="1:37" ht="17.25" customHeight="1">
      <c r="A191" s="19"/>
      <c r="B191" s="84" t="s">
        <v>199</v>
      </c>
      <c r="C191" s="36" t="s">
        <v>27</v>
      </c>
      <c r="D191" s="36" t="s">
        <v>27</v>
      </c>
      <c r="E191" s="36" t="s">
        <v>73</v>
      </c>
      <c r="F191" s="36" t="s">
        <v>29</v>
      </c>
      <c r="G191" s="22" t="s">
        <v>30</v>
      </c>
      <c r="H191" s="63" t="str">
        <f>HYPERLINK("https://innovativeincomeinvestor.com/security/cms-energy-corporation-5-625-junior-subordinated-notes-due-2078/","CMSA")</f>
        <v>CMSA</v>
      </c>
      <c r="I191" s="85">
        <v>5.6250000000000001E-2</v>
      </c>
      <c r="J191" s="25">
        <f ca="1">IFERROR(__xludf.DUMMYFUNCTION("GoogleFinance(H191)"),21.57)</f>
        <v>21.57</v>
      </c>
      <c r="K191" s="67">
        <f ca="1">IFERROR(__xludf.DUMMYFUNCTION("googlefinance(H191,""change"")"),-0.06)</f>
        <v>-0.06</v>
      </c>
      <c r="L191" s="27">
        <f t="shared" ca="1" si="103"/>
        <v>6.5194714881780247E-2</v>
      </c>
      <c r="M191" s="27">
        <f t="array" aca="1" ref="M191" ca="1">L191*U191+(25-J191)/25/U191</f>
        <v>-0.21052032259740144</v>
      </c>
      <c r="N191" s="28" t="s">
        <v>39</v>
      </c>
      <c r="O191" s="28" t="s">
        <v>55</v>
      </c>
      <c r="P191" s="28" t="s">
        <v>76</v>
      </c>
      <c r="Q191" s="29">
        <f t="shared" si="102"/>
        <v>0.3515625</v>
      </c>
      <c r="R191" s="53">
        <v>45000</v>
      </c>
      <c r="S191" s="61">
        <v>65089</v>
      </c>
      <c r="T191" s="62" t="s">
        <v>52</v>
      </c>
      <c r="U191" s="16">
        <f t="shared" ca="1" si="47"/>
        <v>-2.3232876712328765</v>
      </c>
      <c r="V191" s="11" t="str">
        <v>All</v>
      </c>
      <c r="X191">
        <f t="shared" ca="1" si="70"/>
        <v>0.2121077685324054</v>
      </c>
      <c r="Z191" s="17">
        <f t="shared" ca="1" si="71"/>
        <v>46213</v>
      </c>
      <c r="AG191" s="33">
        <f t="shared" ca="1" si="72"/>
        <v>0.13573247929257176</v>
      </c>
      <c r="AH191">
        <f t="shared" ca="1" si="73"/>
        <v>9.070018717394436E-2</v>
      </c>
      <c r="AI191">
        <f t="shared" ca="1" si="74"/>
        <v>8.2240133498587636E-2</v>
      </c>
      <c r="AJ191">
        <f t="shared" ca="1" si="75"/>
        <v>7.5965560711190136E-2</v>
      </c>
      <c r="AK191">
        <f t="shared" ca="1" si="76"/>
        <v>6.8947955024207794E-2</v>
      </c>
    </row>
    <row r="192" spans="1:37" ht="17.25" customHeight="1">
      <c r="A192" s="19"/>
      <c r="B192" s="45" t="s">
        <v>199</v>
      </c>
      <c r="C192" s="28" t="s">
        <v>27</v>
      </c>
      <c r="D192" s="28" t="s">
        <v>27</v>
      </c>
      <c r="E192" s="28" t="s">
        <v>73</v>
      </c>
      <c r="F192" s="36" t="s">
        <v>29</v>
      </c>
      <c r="G192" s="28" t="s">
        <v>30</v>
      </c>
      <c r="H192" s="66" t="str">
        <f>HYPERLINK("https://innovativeincomeinvestor.com/security/cms-energy-corp-5-875-junior-subordinated-notes-due-2078/","CMSC")</f>
        <v>CMSC</v>
      </c>
      <c r="I192" s="47">
        <v>5.8749999999999997E-2</v>
      </c>
      <c r="J192" s="150">
        <f ca="1">IFERROR(__xludf.DUMMYFUNCTION("importxml(""https://bigcharts.marketwatch.com/quickchart/quickchart.asp?symb=CMSC&amp;insttype=Stock"",""/html/body/div[1]/div[2]/table/tbody/tr/td[1]/table/tbody/tr[3]/td[1]/div"")"),22.28)</f>
        <v>22.28</v>
      </c>
      <c r="K192" s="151">
        <f ca="1">IFERROR(__xludf.DUMMYFUNCTION("googlefinance(H192,""change"")"),-0.08)</f>
        <v>-0.08</v>
      </c>
      <c r="L192" s="27">
        <f t="shared" ca="1" si="103"/>
        <v>6.5922351885098734E-2</v>
      </c>
      <c r="M192" s="27">
        <f ca="1">(25-J192)/25</f>
        <v>0.10879999999999995</v>
      </c>
      <c r="N192" s="28" t="s">
        <v>39</v>
      </c>
      <c r="O192" s="28" t="s">
        <v>55</v>
      </c>
      <c r="P192" s="28" t="s">
        <v>76</v>
      </c>
      <c r="Q192" s="29">
        <f t="shared" si="102"/>
        <v>0.3671875</v>
      </c>
      <c r="R192" s="64">
        <v>45214</v>
      </c>
      <c r="S192" s="61">
        <v>65303</v>
      </c>
      <c r="T192" s="62" t="s">
        <v>60</v>
      </c>
      <c r="U192" s="16">
        <f t="shared" ca="1" si="47"/>
        <v>-1.736986301369863</v>
      </c>
      <c r="V192" s="11" t="str">
        <v>All</v>
      </c>
      <c r="X192">
        <f t="shared" ca="1" si="70"/>
        <v>0.18006375983074882</v>
      </c>
      <c r="Z192" s="17">
        <f t="shared" ca="1" si="71"/>
        <v>46213</v>
      </c>
      <c r="AG192" s="33">
        <f t="shared" ca="1" si="72"/>
        <v>0.12079929066522772</v>
      </c>
      <c r="AH192">
        <f t="shared" ca="1" si="73"/>
        <v>8.5747505114544306E-2</v>
      </c>
      <c r="AI192">
        <f t="shared" ca="1" si="74"/>
        <v>7.9155593974469168E-2</v>
      </c>
      <c r="AJ192">
        <f t="shared" ca="1" si="75"/>
        <v>7.4267339204788105E-2</v>
      </c>
      <c r="AK192">
        <f t="shared" ca="1" si="76"/>
        <v>6.880844893625962E-2</v>
      </c>
    </row>
    <row r="193" spans="1:37" ht="17.25" customHeight="1">
      <c r="A193" s="19"/>
      <c r="B193" s="45" t="s">
        <v>199</v>
      </c>
      <c r="C193" s="28" t="s">
        <v>27</v>
      </c>
      <c r="D193" s="28" t="s">
        <v>27</v>
      </c>
      <c r="E193" s="28" t="s">
        <v>73</v>
      </c>
      <c r="F193" s="36" t="s">
        <v>29</v>
      </c>
      <c r="G193" s="28" t="s">
        <v>30</v>
      </c>
      <c r="H193" s="110" t="str">
        <f>HYPERLINK("https://innovativeincomeinvestor.com/security/cms-energy-corporation-5-875-junior-subordinated-notes-due-2079/","CMSD")</f>
        <v>CMSD</v>
      </c>
      <c r="I193" s="47">
        <v>5.8749999999999997E-2</v>
      </c>
      <c r="J193" s="25">
        <f ca="1">IFERROR(__xludf.DUMMYFUNCTION("GoogleFinance(H193)"),22.6)</f>
        <v>22.6</v>
      </c>
      <c r="K193" s="151">
        <f ca="1">IFERROR(__xludf.DUMMYFUNCTION("googlefinance(H193,""change"")"),-0.08)</f>
        <v>-0.08</v>
      </c>
      <c r="L193" s="27">
        <f t="shared" ca="1" si="103"/>
        <v>6.4988938053097342E-2</v>
      </c>
      <c r="M193" s="27">
        <f t="shared" ref="M193:M196" ca="1" si="104">L193*U193+(25-J193)/25/U193</f>
        <v>-0.15895889628850413</v>
      </c>
      <c r="N193" s="28" t="s">
        <v>39</v>
      </c>
      <c r="O193" s="28" t="s">
        <v>55</v>
      </c>
      <c r="P193" s="28" t="s">
        <v>76</v>
      </c>
      <c r="Q193" s="29">
        <f t="shared" si="102"/>
        <v>0.3671875</v>
      </c>
      <c r="R193" s="64">
        <v>45352</v>
      </c>
      <c r="S193" s="61">
        <v>65440</v>
      </c>
      <c r="T193" s="62" t="s">
        <v>81</v>
      </c>
      <c r="U193" s="16">
        <f t="shared" ca="1" si="47"/>
        <v>-1.3589041095890411</v>
      </c>
      <c r="V193" s="11" t="str">
        <v>All</v>
      </c>
      <c r="X193">
        <f t="shared" ca="1" si="70"/>
        <v>0.1648400130696141</v>
      </c>
      <c r="Z193" s="17">
        <f t="shared" ca="1" si="71"/>
        <v>46213</v>
      </c>
      <c r="AG193" s="33">
        <f t="shared" ca="1" si="72"/>
        <v>0.11305321578334397</v>
      </c>
      <c r="AH193">
        <f t="shared" ca="1" si="73"/>
        <v>8.2379438380480619E-2</v>
      </c>
      <c r="AI193">
        <f t="shared" ca="1" si="74"/>
        <v>7.660649994022338E-2</v>
      </c>
      <c r="AJ193">
        <f t="shared" ca="1" si="75"/>
        <v>7.2324056058442901E-2</v>
      </c>
      <c r="AK193">
        <f t="shared" ca="1" si="76"/>
        <v>6.7537483234666712E-2</v>
      </c>
    </row>
    <row r="194" spans="1:37" ht="17.25" customHeight="1">
      <c r="A194" s="19"/>
      <c r="B194" s="45" t="s">
        <v>199</v>
      </c>
      <c r="C194" s="28" t="s">
        <v>35</v>
      </c>
      <c r="D194" s="36" t="s">
        <v>35</v>
      </c>
      <c r="E194" s="28" t="s">
        <v>73</v>
      </c>
      <c r="F194" s="36" t="s">
        <v>29</v>
      </c>
      <c r="G194" s="28" t="s">
        <v>29</v>
      </c>
      <c r="H194" s="83" t="str">
        <f>HYPERLINK("https://innovativeincomeinvestor.com/security/cms-energy-corporataion-4-0-cumulative-redeemable-preferred-stock-series-c/","CMS-C")</f>
        <v>CMS-C</v>
      </c>
      <c r="I194" s="47">
        <v>4.2000000000000003E-2</v>
      </c>
      <c r="J194" s="65">
        <f ca="1">IFERROR(__xludf.DUMMYFUNCTION("GoogleFinance(H194)"),17.49)</f>
        <v>17.489999999999998</v>
      </c>
      <c r="K194" s="151">
        <f ca="1">IFERROR(__xludf.DUMMYFUNCTION("googlefinance(H194,""change"")"),0.03)</f>
        <v>0.03</v>
      </c>
      <c r="L194" s="27">
        <f t="shared" ca="1" si="103"/>
        <v>5.9462550028587774E-2</v>
      </c>
      <c r="M194" s="27">
        <f t="shared" ca="1" si="104"/>
        <v>0.35661764604897206</v>
      </c>
      <c r="N194" s="28" t="s">
        <v>39</v>
      </c>
      <c r="O194" s="28" t="s">
        <v>55</v>
      </c>
      <c r="P194" s="28" t="s">
        <v>83</v>
      </c>
      <c r="Q194" s="29">
        <v>0.26</v>
      </c>
      <c r="R194" s="64">
        <v>46218</v>
      </c>
      <c r="S194" s="54" t="s">
        <v>41</v>
      </c>
      <c r="T194" s="62" t="s">
        <v>60</v>
      </c>
      <c r="U194" s="16">
        <f t="shared" ca="1" si="47"/>
        <v>1.0136986301369864</v>
      </c>
      <c r="V194" s="11" t="str">
        <v>All</v>
      </c>
      <c r="X194">
        <f t="shared" ca="1" si="70"/>
        <v>0.42652524030837696</v>
      </c>
      <c r="Z194" s="17">
        <f t="shared" ca="1" si="71"/>
        <v>46213</v>
      </c>
      <c r="AG194" s="33">
        <f t="shared" ca="1" si="72"/>
        <v>0.23443710459649811</v>
      </c>
      <c r="AH194">
        <f t="shared" ca="1" si="73"/>
        <v>0.12344289605067077</v>
      </c>
      <c r="AI194">
        <f t="shared" ca="1" si="74"/>
        <v>0.10273791489636895</v>
      </c>
      <c r="AJ194">
        <f t="shared" ca="1" si="75"/>
        <v>8.7373224151389525E-2</v>
      </c>
      <c r="AK194">
        <f t="shared" ca="1" si="76"/>
        <v>7.0039565481511926E-2</v>
      </c>
    </row>
    <row r="195" spans="1:37" ht="17.25" customHeight="1">
      <c r="A195" s="19"/>
      <c r="B195" s="45" t="s">
        <v>200</v>
      </c>
      <c r="C195" s="28" t="s">
        <v>27</v>
      </c>
      <c r="D195" s="36" t="s">
        <v>35</v>
      </c>
      <c r="E195" s="28" t="s">
        <v>110</v>
      </c>
      <c r="F195" s="36" t="s">
        <v>29</v>
      </c>
      <c r="G195" s="28" t="s">
        <v>38</v>
      </c>
      <c r="H195" s="83" t="str">
        <f>HYPERLINK("https://innovativeincomeinvestor.com/security/cnb-financial-corporation-7-125-series-a-rixed-rate-non-cumulative-perpetual-preferred-stock/","CCNEP")</f>
        <v>CCNEP</v>
      </c>
      <c r="I195" s="47">
        <v>7.1249999999999994E-2</v>
      </c>
      <c r="J195" s="65">
        <f ca="1">IFERROR(__xludf.DUMMYFUNCTION("GoogleFinance(H195)"),24.53)</f>
        <v>24.53</v>
      </c>
      <c r="K195" s="151">
        <f ca="1">IFERROR(__xludf.DUMMYFUNCTION("googlefinance(H195,""change"")"),0.26)</f>
        <v>0.26</v>
      </c>
      <c r="L195" s="27">
        <f t="shared" ca="1" si="103"/>
        <v>7.337953526294333E-2</v>
      </c>
      <c r="M195" s="27">
        <f t="shared" ca="1" si="104"/>
        <v>0.1401268087130319</v>
      </c>
      <c r="N195" s="28" t="s">
        <v>31</v>
      </c>
      <c r="O195" s="28" t="s">
        <v>32</v>
      </c>
      <c r="P195" s="28" t="s">
        <v>32</v>
      </c>
      <c r="Q195" s="29">
        <v>0.45</v>
      </c>
      <c r="R195" s="64">
        <v>45901</v>
      </c>
      <c r="S195" s="54" t="s">
        <v>41</v>
      </c>
      <c r="T195" s="62" t="s">
        <v>81</v>
      </c>
      <c r="U195" s="16">
        <f t="shared" ca="1" si="47"/>
        <v>0.14520547945205478</v>
      </c>
      <c r="V195" s="11" t="str">
        <v>All</v>
      </c>
      <c r="X195">
        <f t="shared" ref="X195:X258" ca="1" si="105">YIELD($W$1,Z195,I195,J195*4,100,4,0)</f>
        <v>9.1132870878943659E-2</v>
      </c>
      <c r="Z195" s="17">
        <f t="shared" ref="Z195:Z258" ca="1" si="106">TODAY()+($Z$1*$Y$1)</f>
        <v>46213</v>
      </c>
      <c r="AG195" s="33">
        <f t="shared" ref="AG195:AG258" ca="1" si="107">YIELD($W$1,$AA$2,I195,J195*4,100,4,0)</f>
        <v>8.1532494546122908E-2</v>
      </c>
      <c r="AH195">
        <f t="shared" ref="AH195:AH258" ca="1" si="108">YIELD($W$1,$AB$2,I195,J195*4,100,4,0)</f>
        <v>7.5804204362410088E-2</v>
      </c>
      <c r="AI195">
        <f t="shared" ref="AI195:AI258" ca="1" si="109">YIELD($W$1,$AC$2,I195,J195*4,100,4,0)</f>
        <v>7.4724984439720657E-2</v>
      </c>
      <c r="AJ195">
        <f t="shared" ref="AJ195:AJ258" ca="1" si="110">YIELD($W$1,$AD$2,I195,J195*4,100,4,0)</f>
        <v>7.3926827829371392E-2</v>
      </c>
      <c r="AK195">
        <f t="shared" ref="AK195:AK258" ca="1" si="111">YIELD($W$1,$AE$2,I195,J195*4,100,4,0)</f>
        <v>7.3045091050446737E-2</v>
      </c>
    </row>
    <row r="196" spans="1:37" ht="17.25" customHeight="1">
      <c r="A196" s="19"/>
      <c r="B196" s="45" t="s">
        <v>201</v>
      </c>
      <c r="C196" s="28" t="s">
        <v>27</v>
      </c>
      <c r="D196" s="36" t="s">
        <v>27</v>
      </c>
      <c r="E196" s="28" t="s">
        <v>28</v>
      </c>
      <c r="F196" s="36" t="s">
        <v>29</v>
      </c>
      <c r="G196" s="28" t="s">
        <v>30</v>
      </c>
      <c r="H196" s="83" t="str">
        <f>HYPERLINK("https://innovativeincomeinvestor.com/security/cno-financial-group-5-125-subordinated-debentures-due-2060/","CNO-A")</f>
        <v>CNO-A</v>
      </c>
      <c r="I196" s="47">
        <v>5.1249999999999997E-2</v>
      </c>
      <c r="J196" s="65">
        <f ca="1">IFERROR(__xludf.DUMMYFUNCTION("GoogleFinance(H196)"),17.86)</f>
        <v>17.86</v>
      </c>
      <c r="K196" s="151">
        <f ca="1">IFERROR(__xludf.DUMMYFUNCTION("googlefinance(H196,""change"")"),0.05)</f>
        <v>0.05</v>
      </c>
      <c r="L196" s="27">
        <f t="shared" ca="1" si="103"/>
        <v>7.1668533034714446E-2</v>
      </c>
      <c r="M196" s="27">
        <f t="shared" ca="1" si="104"/>
        <v>0.78248790039930716</v>
      </c>
      <c r="N196" s="28" t="s">
        <v>31</v>
      </c>
      <c r="O196" s="28" t="s">
        <v>32</v>
      </c>
      <c r="P196" s="28" t="s">
        <v>32</v>
      </c>
      <c r="Q196" s="29">
        <v>0.32</v>
      </c>
      <c r="R196" s="64">
        <v>45986</v>
      </c>
      <c r="S196" s="61">
        <v>58770</v>
      </c>
      <c r="T196" s="62" t="s">
        <v>33</v>
      </c>
      <c r="U196" s="16">
        <f t="shared" ca="1" si="47"/>
        <v>0.37808219178082192</v>
      </c>
      <c r="V196" s="11" t="str">
        <v>All</v>
      </c>
      <c r="X196">
        <f t="shared" ca="1" si="105"/>
        <v>0.41447000085795704</v>
      </c>
      <c r="Z196" s="17">
        <f t="shared" ca="1" si="106"/>
        <v>46213</v>
      </c>
      <c r="AG196" s="33">
        <f t="shared" ca="1" si="107"/>
        <v>0.23415496044419609</v>
      </c>
      <c r="AH196">
        <f t="shared" ca="1" si="108"/>
        <v>0.12982150421533623</v>
      </c>
      <c r="AI196">
        <f t="shared" ca="1" si="109"/>
        <v>0.11038778909093015</v>
      </c>
      <c r="AJ196">
        <f t="shared" ca="1" si="110"/>
        <v>9.6012633543735529E-2</v>
      </c>
      <c r="AK196">
        <f t="shared" ca="1" si="111"/>
        <v>8.0001384180406643E-2</v>
      </c>
    </row>
    <row r="197" spans="1:37" ht="17.25" customHeight="1">
      <c r="A197" s="19"/>
      <c r="B197" s="45" t="s">
        <v>202</v>
      </c>
      <c r="C197" s="28" t="s">
        <v>27</v>
      </c>
      <c r="D197" s="28" t="s">
        <v>35</v>
      </c>
      <c r="E197" s="28" t="s">
        <v>67</v>
      </c>
      <c r="F197" s="36" t="s">
        <v>29</v>
      </c>
      <c r="G197" s="28" t="s">
        <v>38</v>
      </c>
      <c r="H197" s="66" t="str">
        <f>HYPERLINK("https://innovativeincomeinvestor.com/security/compass-diversified-7-25/","CODI-A")</f>
        <v>CODI-A</v>
      </c>
      <c r="I197" s="47">
        <v>7.2499999999999995E-2</v>
      </c>
      <c r="J197" s="65">
        <f ca="1">IFERROR(__xludf.DUMMYFUNCTION("GoogleFinance(H197)"),17.34)</f>
        <v>17.34</v>
      </c>
      <c r="K197" s="48">
        <f ca="1">IFERROR(__xludf.DUMMYFUNCTION("googlefinance(H197,""change"")"),0.05)</f>
        <v>0.05</v>
      </c>
      <c r="L197" s="27">
        <f t="shared" ca="1" si="103"/>
        <v>0.1045271049596309</v>
      </c>
      <c r="M197" s="27">
        <f ca="1">(25-J197)/25</f>
        <v>0.30640000000000001</v>
      </c>
      <c r="N197" s="28" t="s">
        <v>31</v>
      </c>
      <c r="O197" s="28" t="s">
        <v>32</v>
      </c>
      <c r="P197" s="28" t="s">
        <v>32</v>
      </c>
      <c r="Q197" s="29">
        <f t="shared" ref="Q197:Q200" si="112">(I197*25)/4</f>
        <v>0.45312499999999994</v>
      </c>
      <c r="R197" s="64">
        <v>44772</v>
      </c>
      <c r="S197" s="54" t="s">
        <v>41</v>
      </c>
      <c r="T197" s="62" t="s">
        <v>45</v>
      </c>
      <c r="U197" s="16">
        <f t="shared" ca="1" si="47"/>
        <v>-2.9479452054794519</v>
      </c>
      <c r="V197" s="11" t="str">
        <v>All</v>
      </c>
      <c r="X197">
        <f t="shared" ca="1" si="105"/>
        <v>0.47493388858881436</v>
      </c>
      <c r="Z197" s="17">
        <f t="shared" ca="1" si="106"/>
        <v>46213</v>
      </c>
      <c r="AG197" s="33">
        <f t="shared" ca="1" si="107"/>
        <v>0.2771900924200717</v>
      </c>
      <c r="AH197">
        <f t="shared" ca="1" si="108"/>
        <v>0.16339205750225153</v>
      </c>
      <c r="AI197">
        <f t="shared" ca="1" si="109"/>
        <v>0.14239803262420253</v>
      </c>
      <c r="AJ197">
        <f t="shared" ca="1" si="110"/>
        <v>0.1270597930663046</v>
      </c>
      <c r="AK197">
        <f t="shared" ca="1" si="111"/>
        <v>0.11073743145597775</v>
      </c>
    </row>
    <row r="198" spans="1:37" ht="17.25" customHeight="1">
      <c r="A198" s="19"/>
      <c r="B198" s="45" t="s">
        <v>202</v>
      </c>
      <c r="C198" s="28" t="s">
        <v>35</v>
      </c>
      <c r="D198" s="28" t="s">
        <v>35</v>
      </c>
      <c r="E198" s="28" t="s">
        <v>67</v>
      </c>
      <c r="F198" s="36" t="s">
        <v>29</v>
      </c>
      <c r="G198" s="28" t="s">
        <v>38</v>
      </c>
      <c r="H198" s="66" t="str">
        <f>HYPERLINK("https://innovativeincomeinvestor.com/security/compass-diversified-holdings-7-875-series-c-cumulative-preferred-shares/","CODI-C")</f>
        <v>CODI-C</v>
      </c>
      <c r="I198" s="47">
        <v>7.8750000000000001E-2</v>
      </c>
      <c r="J198" s="65">
        <f ca="1">IFERROR(__xludf.DUMMYFUNCTION("GoogleFinance(H198)"),19.25)</f>
        <v>19.25</v>
      </c>
      <c r="K198" s="48">
        <f ca="1">IFERROR(__xludf.DUMMYFUNCTION("googlefinance(H198,""change"")"),0.03)</f>
        <v>0.03</v>
      </c>
      <c r="L198" s="27">
        <f t="shared" ca="1" si="103"/>
        <v>0.10227272727272728</v>
      </c>
      <c r="M198" s="27">
        <f t="shared" ref="M198:M199" ca="1" si="113">L198*U198+(25-J198)/25/U198</f>
        <v>-0.56654065112969221</v>
      </c>
      <c r="N198" s="28" t="s">
        <v>31</v>
      </c>
      <c r="O198" s="28" t="s">
        <v>32</v>
      </c>
      <c r="P198" s="28" t="s">
        <v>32</v>
      </c>
      <c r="Q198" s="29">
        <f t="shared" si="112"/>
        <v>0.4921875</v>
      </c>
      <c r="R198" s="64">
        <v>45687</v>
      </c>
      <c r="S198" s="54" t="s">
        <v>41</v>
      </c>
      <c r="T198" s="62" t="s">
        <v>45</v>
      </c>
      <c r="U198" s="16">
        <f t="shared" ca="1" si="47"/>
        <v>-0.44109589041095892</v>
      </c>
      <c r="V198" s="11" t="str">
        <v>All</v>
      </c>
      <c r="X198">
        <f t="shared" ca="1" si="105"/>
        <v>0.36322840951097585</v>
      </c>
      <c r="Z198" s="17">
        <f t="shared" ca="1" si="106"/>
        <v>46213</v>
      </c>
      <c r="AG198" s="33">
        <f t="shared" ca="1" si="107"/>
        <v>0.22466279958489377</v>
      </c>
      <c r="AH198">
        <f t="shared" ca="1" si="108"/>
        <v>0.14410925957906009</v>
      </c>
      <c r="AI198">
        <f t="shared" ca="1" si="109"/>
        <v>0.12919050119804815</v>
      </c>
      <c r="AJ198">
        <f t="shared" ca="1" si="110"/>
        <v>0.11828682668140299</v>
      </c>
      <c r="AK198">
        <f t="shared" ca="1" si="111"/>
        <v>0.10669524261673248</v>
      </c>
    </row>
    <row r="199" spans="1:37" ht="17.25" customHeight="1">
      <c r="A199" s="19"/>
      <c r="B199" s="45" t="s">
        <v>202</v>
      </c>
      <c r="C199" s="28" t="s">
        <v>35</v>
      </c>
      <c r="D199" s="28" t="s">
        <v>35</v>
      </c>
      <c r="E199" s="28" t="s">
        <v>67</v>
      </c>
      <c r="F199" s="36" t="s">
        <v>46</v>
      </c>
      <c r="G199" s="28" t="s">
        <v>38</v>
      </c>
      <c r="H199" s="66" t="str">
        <f>HYPERLINK("https://innovativeincomeinvestor.com/security/compass-diversified-holdings-7-875-fixed-to-floating-rate-cumulative-preferred-shares/","CODI-B")</f>
        <v>CODI-B</v>
      </c>
      <c r="I199" s="47">
        <v>7.8750000000000001E-2</v>
      </c>
      <c r="J199" s="65">
        <f ca="1">IFERROR(__xludf.DUMMYFUNCTION("GoogleFinance(H199)"),19.02)</f>
        <v>19.02</v>
      </c>
      <c r="K199" s="48">
        <f ca="1">IFERROR(__xludf.DUMMYFUNCTION("googlefinance(H199,""change"")"),0.12)</f>
        <v>0.12</v>
      </c>
      <c r="L199" s="27">
        <f t="shared" ca="1" si="103"/>
        <v>0.10350946372239749</v>
      </c>
      <c r="M199" s="27">
        <f t="shared" ca="1" si="113"/>
        <v>0.37585579772360539</v>
      </c>
      <c r="N199" s="28" t="s">
        <v>31</v>
      </c>
      <c r="O199" s="28" t="s">
        <v>32</v>
      </c>
      <c r="P199" s="28" t="s">
        <v>32</v>
      </c>
      <c r="Q199" s="29">
        <f t="shared" si="112"/>
        <v>0.4921875</v>
      </c>
      <c r="R199" s="64">
        <v>46873</v>
      </c>
      <c r="S199" s="54" t="s">
        <v>41</v>
      </c>
      <c r="T199" s="62" t="s">
        <v>45</v>
      </c>
      <c r="U199" s="16">
        <f t="shared" ca="1" si="47"/>
        <v>2.8082191780821919</v>
      </c>
      <c r="V199" s="11" t="str">
        <v>All</v>
      </c>
      <c r="X199">
        <f t="shared" ca="1" si="105"/>
        <v>0.37681358946713012</v>
      </c>
      <c r="Z199" s="17">
        <f t="shared" ca="1" si="106"/>
        <v>46213</v>
      </c>
      <c r="AG199" s="33">
        <f t="shared" ca="1" si="107"/>
        <v>0.23154232622434884</v>
      </c>
      <c r="AH199">
        <f t="shared" ca="1" si="108"/>
        <v>0.14719696212927039</v>
      </c>
      <c r="AI199">
        <f t="shared" ca="1" si="109"/>
        <v>0.13158789268081525</v>
      </c>
      <c r="AJ199">
        <f t="shared" ca="1" si="110"/>
        <v>0.12018539411060612</v>
      </c>
      <c r="AK199">
        <f t="shared" ca="1" si="111"/>
        <v>0.10808248839681628</v>
      </c>
    </row>
    <row r="200" spans="1:37" ht="17.25" customHeight="1">
      <c r="A200" s="19"/>
      <c r="B200" s="45" t="s">
        <v>203</v>
      </c>
      <c r="C200" s="28" t="s">
        <v>27</v>
      </c>
      <c r="D200" s="28" t="s">
        <v>27</v>
      </c>
      <c r="E200" s="28" t="s">
        <v>28</v>
      </c>
      <c r="F200" s="36" t="s">
        <v>29</v>
      </c>
      <c r="G200" s="28" t="s">
        <v>30</v>
      </c>
      <c r="H200" s="66" t="str">
        <f>HYPERLINK("https://innovativeincomeinvestor.com/security/conifer-holdings-inc-6-75-senior-unsecured-notes-due-2023-2/","CNFRL")</f>
        <v>CNFRL</v>
      </c>
      <c r="I200" s="47">
        <v>6.7500000000000004E-2</v>
      </c>
      <c r="J200" s="152" t="s">
        <v>204</v>
      </c>
      <c r="K200" s="152" t="s">
        <v>204</v>
      </c>
      <c r="L200" s="152" t="s">
        <v>204</v>
      </c>
      <c r="M200" s="152" t="s">
        <v>204</v>
      </c>
      <c r="N200" s="28" t="s">
        <v>31</v>
      </c>
      <c r="O200" s="28" t="s">
        <v>32</v>
      </c>
      <c r="P200" s="28" t="s">
        <v>32</v>
      </c>
      <c r="Q200" s="29">
        <f t="shared" si="112"/>
        <v>0.421875</v>
      </c>
      <c r="R200" s="64">
        <v>44469</v>
      </c>
      <c r="S200" s="61">
        <v>45199</v>
      </c>
      <c r="T200" s="62" t="s">
        <v>42</v>
      </c>
      <c r="U200" s="16">
        <f t="shared" ca="1" si="47"/>
        <v>-3.7780821917808218</v>
      </c>
      <c r="V200" s="11" t="str">
        <v>All</v>
      </c>
      <c r="X200" t="e">
        <f t="shared" ca="1" si="105"/>
        <v>#VALUE!</v>
      </c>
      <c r="Z200" s="17">
        <f t="shared" ca="1" si="106"/>
        <v>46213</v>
      </c>
      <c r="AG200" s="33" t="e">
        <f t="shared" ca="1" si="107"/>
        <v>#VALUE!</v>
      </c>
      <c r="AH200" t="e">
        <f t="shared" ca="1" si="108"/>
        <v>#VALUE!</v>
      </c>
      <c r="AI200" t="e">
        <f t="shared" ca="1" si="109"/>
        <v>#VALUE!</v>
      </c>
      <c r="AJ200" t="e">
        <f t="shared" ca="1" si="110"/>
        <v>#VALUE!</v>
      </c>
      <c r="AK200" t="e">
        <f t="shared" ca="1" si="111"/>
        <v>#VALUE!</v>
      </c>
    </row>
    <row r="201" spans="1:37" ht="17.25" customHeight="1">
      <c r="A201" s="19"/>
      <c r="B201" s="45" t="s">
        <v>205</v>
      </c>
      <c r="C201" s="28" t="s">
        <v>27</v>
      </c>
      <c r="D201" s="28" t="s">
        <v>35</v>
      </c>
      <c r="E201" s="28" t="s">
        <v>110</v>
      </c>
      <c r="F201" s="36" t="s">
        <v>29</v>
      </c>
      <c r="G201" s="28" t="s">
        <v>61</v>
      </c>
      <c r="H201" s="46" t="str">
        <f>HYPERLINK("https://innovativeincomeinvestor.com/security/connectone-bancorp-inc-5-25-fixed-rate-reset-non-cumulative-perpetual-preferred-stock-series-a/","CNOBP")</f>
        <v>CNOBP</v>
      </c>
      <c r="I201" s="47">
        <v>5.2499999999999998E-2</v>
      </c>
      <c r="J201" s="25">
        <f ca="1">IFERROR(__xludf.DUMMYFUNCTION("GoogleFinance(H201)"),22.95)</f>
        <v>22.95</v>
      </c>
      <c r="K201" s="107">
        <f ca="1">IFERROR(__xludf.DUMMYFUNCTION("googlefinance(H201,""change"")"),-0.13)</f>
        <v>-0.13</v>
      </c>
      <c r="L201" s="108">
        <f t="shared" ref="L201:L202" ca="1" si="114">(Q201*4)/J201</f>
        <v>5.751633986928105E-2</v>
      </c>
      <c r="M201" s="108">
        <f ca="1">(25-J201)/25</f>
        <v>8.2000000000000031E-2</v>
      </c>
      <c r="N201" s="28" t="s">
        <v>31</v>
      </c>
      <c r="O201" s="28" t="s">
        <v>32</v>
      </c>
      <c r="P201" s="28" t="s">
        <v>32</v>
      </c>
      <c r="Q201" s="29">
        <v>0.33</v>
      </c>
      <c r="R201" s="64">
        <v>46266</v>
      </c>
      <c r="S201" s="54" t="s">
        <v>41</v>
      </c>
      <c r="T201" s="62" t="s">
        <v>81</v>
      </c>
      <c r="U201" s="16">
        <f t="shared" ca="1" si="47"/>
        <v>1.1452054794520548</v>
      </c>
      <c r="V201" s="11" t="str">
        <v>All</v>
      </c>
      <c r="X201">
        <f t="shared" ca="1" si="105"/>
        <v>0.1418990388509217</v>
      </c>
      <c r="Z201" s="17">
        <f t="shared" ca="1" si="106"/>
        <v>46213</v>
      </c>
      <c r="AG201" s="33">
        <f t="shared" ca="1" si="107"/>
        <v>9.815538478690583E-2</v>
      </c>
      <c r="AH201">
        <f t="shared" ca="1" si="108"/>
        <v>7.2192335218128026E-2</v>
      </c>
      <c r="AI201">
        <f t="shared" ca="1" si="109"/>
        <v>6.7294444054119509E-2</v>
      </c>
      <c r="AJ201">
        <f t="shared" ca="1" si="110"/>
        <v>6.3651802405332622E-2</v>
      </c>
      <c r="AK201">
        <f t="shared" ca="1" si="111"/>
        <v>5.9544004984165198E-2</v>
      </c>
    </row>
    <row r="202" spans="1:37" ht="17.25" customHeight="1">
      <c r="A202" s="19"/>
      <c r="B202" s="45" t="s">
        <v>206</v>
      </c>
      <c r="C202" s="28" t="s">
        <v>27</v>
      </c>
      <c r="D202" s="28" t="s">
        <v>27</v>
      </c>
      <c r="E202" s="28" t="s">
        <v>28</v>
      </c>
      <c r="F202" s="36" t="s">
        <v>29</v>
      </c>
      <c r="G202" s="28" t="s">
        <v>30</v>
      </c>
      <c r="H202" s="51" t="str">
        <f>HYPERLINK("https://innovativeincomeinvestor.com/security/corebridge-financial-inc-6-375-junior-subordinated-notes-due-2064/","CRBD")</f>
        <v>CRBD</v>
      </c>
      <c r="I202" s="85">
        <v>6.3750000000000001E-2</v>
      </c>
      <c r="J202" s="25">
        <f ca="1">IFERROR(__xludf.DUMMYFUNCTION("GoogleFinance(H202)"),23.26)</f>
        <v>23.26</v>
      </c>
      <c r="K202" s="107">
        <f ca="1">IFERROR(__xludf.DUMMYFUNCTION("googlefinance(H202,""change"")"),0.06)</f>
        <v>0.06</v>
      </c>
      <c r="L202" s="108">
        <f t="shared" ca="1" si="114"/>
        <v>6.8443680137575236E-2</v>
      </c>
      <c r="M202" s="27">
        <f t="shared" ref="M202:M203" ca="1" si="115">L202*U202+(25-J202)/25/U202</f>
        <v>0.3192810801070961</v>
      </c>
      <c r="N202" s="28" t="s">
        <v>31</v>
      </c>
      <c r="O202" s="28" t="s">
        <v>32</v>
      </c>
      <c r="P202" s="28" t="s">
        <v>32</v>
      </c>
      <c r="Q202" s="29">
        <v>0.39800000000000002</v>
      </c>
      <c r="R202" s="64">
        <v>47467</v>
      </c>
      <c r="S202" s="61">
        <v>60251</v>
      </c>
      <c r="T202" s="62" t="s">
        <v>52</v>
      </c>
      <c r="U202" s="16">
        <f t="shared" ca="1" si="47"/>
        <v>4.4356164383561643</v>
      </c>
      <c r="V202" s="11" t="str">
        <v>All</v>
      </c>
      <c r="X202">
        <f t="shared" ca="1" si="105"/>
        <v>0.13952327395907049</v>
      </c>
      <c r="Z202" s="17">
        <f t="shared" ca="1" si="106"/>
        <v>46213</v>
      </c>
      <c r="AG202" s="33">
        <f t="shared" ca="1" si="107"/>
        <v>0.10268908667761317</v>
      </c>
      <c r="AH202">
        <f t="shared" ca="1" si="108"/>
        <v>8.0816887746058455E-2</v>
      </c>
      <c r="AI202">
        <f t="shared" ca="1" si="109"/>
        <v>7.6699683386489748E-2</v>
      </c>
      <c r="AJ202">
        <f t="shared" ca="1" si="110"/>
        <v>7.3649168406763194E-2</v>
      </c>
      <c r="AK202">
        <f t="shared" ca="1" si="111"/>
        <v>7.025687659157058E-2</v>
      </c>
    </row>
    <row r="203" spans="1:37" ht="17.25" customHeight="1">
      <c r="A203" s="19"/>
      <c r="B203" s="45" t="s">
        <v>207</v>
      </c>
      <c r="C203" s="28" t="s">
        <v>27</v>
      </c>
      <c r="D203" s="28" t="s">
        <v>27</v>
      </c>
      <c r="E203" s="28" t="s">
        <v>113</v>
      </c>
      <c r="F203" s="36" t="s">
        <v>29</v>
      </c>
      <c r="G203" s="28" t="s">
        <v>208</v>
      </c>
      <c r="H203" s="66" t="str">
        <f>HYPERLINK("https://innovativeincomeinvestor.com/security/structred-products-corts-bellesouth-debentures-7/","KTBA")</f>
        <v>KTBA</v>
      </c>
      <c r="I203" s="85">
        <v>7.0000000000000007E-2</v>
      </c>
      <c r="J203" s="114">
        <f ca="1">IFERROR(__xludf.DUMMYFUNCTION("GoogleFinance(H203)"),21.65)</f>
        <v>21.65</v>
      </c>
      <c r="K203" s="57">
        <f ca="1">IFERROR(__xludf.DUMMYFUNCTION("googlefinance(H203,""change"")"),0)</f>
        <v>0</v>
      </c>
      <c r="L203" s="58">
        <f ca="1">(Q203*2)/J203</f>
        <v>8.129330254041571E-2</v>
      </c>
      <c r="M203" s="27">
        <f t="shared" ca="1" si="115"/>
        <v>5.7282916181246595</v>
      </c>
      <c r="N203" s="59" t="s">
        <v>31</v>
      </c>
      <c r="O203" s="59" t="s">
        <v>32</v>
      </c>
      <c r="P203" s="59" t="s">
        <v>32</v>
      </c>
      <c r="Q203" s="60">
        <v>0.88</v>
      </c>
      <c r="R203" s="36" t="s">
        <v>86</v>
      </c>
      <c r="S203" s="61">
        <v>71559</v>
      </c>
      <c r="T203" s="62" t="s">
        <v>209</v>
      </c>
      <c r="U203" s="16">
        <f ca="1">(S203-TODAY())/365</f>
        <v>70.441095890410963</v>
      </c>
      <c r="V203" s="11" t="str">
        <v>All</v>
      </c>
      <c r="X203">
        <f t="shared" ca="1" si="105"/>
        <v>0.22320008771974906</v>
      </c>
      <c r="Z203" s="17">
        <f t="shared" ca="1" si="106"/>
        <v>46213</v>
      </c>
      <c r="AG203" s="33">
        <f t="shared" ca="1" si="107"/>
        <v>0.14868352244352351</v>
      </c>
      <c r="AH203">
        <f t="shared" ca="1" si="108"/>
        <v>0.10478685148309135</v>
      </c>
      <c r="AI203">
        <f t="shared" ca="1" si="109"/>
        <v>9.6572339023870912E-2</v>
      </c>
      <c r="AJ203">
        <f t="shared" ca="1" si="110"/>
        <v>9.0514761308553071E-2</v>
      </c>
      <c r="AK203">
        <f t="shared" ca="1" si="111"/>
        <v>8.3880865913138314E-2</v>
      </c>
    </row>
    <row r="204" spans="1:37" ht="17.25" customHeight="1">
      <c r="A204" s="19"/>
      <c r="B204" s="45" t="s">
        <v>210</v>
      </c>
      <c r="C204" s="28" t="s">
        <v>35</v>
      </c>
      <c r="D204" s="28" t="s">
        <v>35</v>
      </c>
      <c r="E204" s="28" t="s">
        <v>119</v>
      </c>
      <c r="F204" s="36" t="s">
        <v>29</v>
      </c>
      <c r="G204" s="28" t="s">
        <v>38</v>
      </c>
      <c r="H204" s="66" t="str">
        <f>HYPERLINK("https://innovativeincomeinvestor.com/security/costamare-inc-8-50-series-c-cumulative-redeemable-perpetual-preferred-stock/","CMRE-C")</f>
        <v>CMRE-C</v>
      </c>
      <c r="I204" s="85">
        <v>8.5000000000000006E-2</v>
      </c>
      <c r="J204" s="65">
        <f ca="1">IFERROR(__xludf.DUMMYFUNCTION("GoogleFinance(H204)"),26.15)</f>
        <v>26.15</v>
      </c>
      <c r="K204" s="48">
        <f ca="1">IFERROR(__xludf.DUMMYFUNCTION("googlefinance(H204,""change"")"),-0.08)</f>
        <v>-0.08</v>
      </c>
      <c r="L204" s="27">
        <f t="shared" ref="L204:L206" ca="1" si="116">(Q204*4)/J204</f>
        <v>8.1261950286806883E-2</v>
      </c>
      <c r="M204" s="27">
        <f t="shared" ref="M204:M206" ca="1" si="117">(25-J204)/25</f>
        <v>-4.5999999999999944E-2</v>
      </c>
      <c r="N204" s="28" t="s">
        <v>31</v>
      </c>
      <c r="O204" s="28" t="s">
        <v>32</v>
      </c>
      <c r="P204" s="28" t="s">
        <v>32</v>
      </c>
      <c r="Q204" s="29">
        <f t="shared" ref="Q204:Q209" si="118">(I204*25)/4</f>
        <v>0.53125</v>
      </c>
      <c r="R204" s="53">
        <v>43486</v>
      </c>
      <c r="S204" s="54" t="s">
        <v>41</v>
      </c>
      <c r="T204" s="62" t="s">
        <v>60</v>
      </c>
      <c r="U204" s="16">
        <f t="shared" ref="U204:U263" ca="1" si="119">(R204-TODAY())/365</f>
        <v>-6.4712328767123291</v>
      </c>
      <c r="V204" s="11" t="str">
        <v>All</v>
      </c>
      <c r="X204">
        <f t="shared" ca="1" si="105"/>
        <v>3.7905089629523173E-2</v>
      </c>
      <c r="Z204" s="17">
        <f t="shared" ca="1" si="106"/>
        <v>46213</v>
      </c>
      <c r="AG204" s="33">
        <f t="shared" ca="1" si="107"/>
        <v>6.0409573887220139E-2</v>
      </c>
      <c r="AH204">
        <f t="shared" ca="1" si="108"/>
        <v>7.3906299934060504E-2</v>
      </c>
      <c r="AI204">
        <f t="shared" ca="1" si="109"/>
        <v>7.6447116239241789E-2</v>
      </c>
      <c r="AJ204">
        <f t="shared" ca="1" si="110"/>
        <v>7.8320081562916699E-2</v>
      </c>
      <c r="AK204">
        <f t="shared" ca="1" si="111"/>
        <v>8.0355739933821127E-2</v>
      </c>
    </row>
    <row r="205" spans="1:37" ht="17.25" customHeight="1">
      <c r="A205" s="19"/>
      <c r="B205" s="45" t="s">
        <v>210</v>
      </c>
      <c r="C205" s="28" t="s">
        <v>35</v>
      </c>
      <c r="D205" s="28" t="s">
        <v>35</v>
      </c>
      <c r="E205" s="28" t="s">
        <v>119</v>
      </c>
      <c r="F205" s="36" t="s">
        <v>29</v>
      </c>
      <c r="G205" s="28" t="s">
        <v>38</v>
      </c>
      <c r="H205" s="51" t="str">
        <f>HYPERLINK("https://innovativeincomeinvestor.com/security/costamare-inc-7-625-series-b-cumulative-redeemable-perpetual-preferred-stock/","CMRE-B")</f>
        <v>CMRE-B</v>
      </c>
      <c r="I205" s="85">
        <v>7.6249999999999998E-2</v>
      </c>
      <c r="J205" s="65">
        <f ca="1">IFERROR(__xludf.DUMMYFUNCTION("GoogleFinance(H205)"),25.3)</f>
        <v>25.3</v>
      </c>
      <c r="K205" s="48">
        <f ca="1">IFERROR(__xludf.DUMMYFUNCTION("googlefinance(H205,""change"")"),0.36)</f>
        <v>0.36</v>
      </c>
      <c r="L205" s="27">
        <f t="shared" ca="1" si="116"/>
        <v>7.5345849802371537E-2</v>
      </c>
      <c r="M205" s="27">
        <f t="shared" ca="1" si="117"/>
        <v>-1.2000000000000028E-2</v>
      </c>
      <c r="N205" s="28" t="s">
        <v>31</v>
      </c>
      <c r="O205" s="28" t="s">
        <v>32</v>
      </c>
      <c r="P205" s="28" t="s">
        <v>32</v>
      </c>
      <c r="Q205" s="29">
        <f t="shared" si="118"/>
        <v>0.4765625</v>
      </c>
      <c r="R205" s="53">
        <v>43318</v>
      </c>
      <c r="S205" s="54" t="s">
        <v>41</v>
      </c>
      <c r="T205" s="62" t="s">
        <v>60</v>
      </c>
      <c r="U205" s="16">
        <f t="shared" ca="1" si="119"/>
        <v>-6.9315068493150687</v>
      </c>
      <c r="V205" s="11" t="str">
        <v>All</v>
      </c>
      <c r="X205">
        <f t="shared" ca="1" si="105"/>
        <v>6.376795844216275E-2</v>
      </c>
      <c r="Z205" s="17">
        <f t="shared" ca="1" si="106"/>
        <v>46213</v>
      </c>
      <c r="AG205" s="33">
        <f t="shared" ca="1" si="107"/>
        <v>6.9769557717646563E-2</v>
      </c>
      <c r="AH205">
        <f t="shared" ca="1" si="108"/>
        <v>7.3359507343957117E-2</v>
      </c>
      <c r="AI205">
        <f t="shared" ca="1" si="109"/>
        <v>7.4035787999358796E-2</v>
      </c>
      <c r="AJ205">
        <f t="shared" ca="1" si="110"/>
        <v>7.4535899964629879E-2</v>
      </c>
      <c r="AK205">
        <f t="shared" ca="1" si="111"/>
        <v>7.5084831948946246E-2</v>
      </c>
    </row>
    <row r="206" spans="1:37" ht="17.25" customHeight="1">
      <c r="A206" s="19"/>
      <c r="B206" s="45" t="s">
        <v>210</v>
      </c>
      <c r="C206" s="28" t="s">
        <v>35</v>
      </c>
      <c r="D206" s="28" t="s">
        <v>35</v>
      </c>
      <c r="E206" s="28" t="s">
        <v>119</v>
      </c>
      <c r="F206" s="36" t="s">
        <v>29</v>
      </c>
      <c r="G206" s="28" t="s">
        <v>38</v>
      </c>
      <c r="H206" s="51" t="str">
        <f>HYPERLINK("https://innovativeincomeinvestor.com/security/costamare-inc-8-75-series-d-cumulative-redeemable-perpetual-preferred-stock/","CMRE-D")</f>
        <v>CMRE-D</v>
      </c>
      <c r="I206" s="85">
        <v>8.7499999999999994E-2</v>
      </c>
      <c r="J206" s="65">
        <f ca="1">IFERROR(__xludf.DUMMYFUNCTION("GoogleFinance(H206)"),26.31)</f>
        <v>26.31</v>
      </c>
      <c r="K206" s="48">
        <f ca="1">IFERROR(__xludf.DUMMYFUNCTION("googlefinance(H206,""change"")"),-0.02)</f>
        <v>-0.02</v>
      </c>
      <c r="L206" s="27">
        <f t="shared" ca="1" si="116"/>
        <v>8.3143291524135313E-2</v>
      </c>
      <c r="M206" s="27">
        <f t="shared" ca="1" si="117"/>
        <v>-5.2399999999999947E-2</v>
      </c>
      <c r="N206" s="28" t="s">
        <v>31</v>
      </c>
      <c r="O206" s="28" t="s">
        <v>32</v>
      </c>
      <c r="P206" s="28" t="s">
        <v>32</v>
      </c>
      <c r="Q206" s="29">
        <f t="shared" si="118"/>
        <v>0.546875</v>
      </c>
      <c r="R206" s="64">
        <v>43964</v>
      </c>
      <c r="S206" s="54" t="s">
        <v>41</v>
      </c>
      <c r="T206" s="62" t="s">
        <v>60</v>
      </c>
      <c r="U206" s="16">
        <f t="shared" ca="1" si="119"/>
        <v>-5.161643835616438</v>
      </c>
      <c r="V206" s="11" t="str">
        <v>All</v>
      </c>
      <c r="X206">
        <f t="shared" ca="1" si="105"/>
        <v>3.3982369978450305E-2</v>
      </c>
      <c r="Z206" s="17">
        <f t="shared" ca="1" si="106"/>
        <v>46213</v>
      </c>
      <c r="AG206" s="33">
        <f t="shared" ca="1" si="107"/>
        <v>5.9515559338796147E-2</v>
      </c>
      <c r="AH206">
        <f t="shared" ca="1" si="108"/>
        <v>7.4834394454292963E-2</v>
      </c>
      <c r="AI206">
        <f t="shared" ca="1" si="109"/>
        <v>7.7716932046452247E-2</v>
      </c>
      <c r="AJ206">
        <f t="shared" ca="1" si="110"/>
        <v>7.9839817744422711E-2</v>
      </c>
      <c r="AK206">
        <f t="shared" ca="1" si="111"/>
        <v>8.2139394485687273E-2</v>
      </c>
    </row>
    <row r="207" spans="1:37" ht="17.25" customHeight="1">
      <c r="A207" s="19"/>
      <c r="B207" s="45" t="s">
        <v>210</v>
      </c>
      <c r="C207" s="28" t="s">
        <v>35</v>
      </c>
      <c r="D207" s="28" t="s">
        <v>35</v>
      </c>
      <c r="E207" s="28" t="s">
        <v>119</v>
      </c>
      <c r="F207" s="36" t="s">
        <v>29</v>
      </c>
      <c r="G207" s="28" t="s">
        <v>38</v>
      </c>
      <c r="H207" s="66" t="str">
        <f>HYPERLINK("https://innovativeincomeinvestor.com/security/costamare-inc-8-875-series-e-cumulative-redeemable-perpetual-preferred-stock/","CMRE-E")</f>
        <v>CMRE-E</v>
      </c>
      <c r="I207" s="47">
        <v>8.8749999999999996E-2</v>
      </c>
      <c r="J207" s="79" t="s">
        <v>68</v>
      </c>
      <c r="K207" s="79" t="s">
        <v>68</v>
      </c>
      <c r="L207" s="79" t="s">
        <v>68</v>
      </c>
      <c r="M207" s="79" t="s">
        <v>68</v>
      </c>
      <c r="N207" s="28" t="s">
        <v>31</v>
      </c>
      <c r="O207" s="28" t="s">
        <v>32</v>
      </c>
      <c r="P207" s="28" t="s">
        <v>32</v>
      </c>
      <c r="Q207" s="29">
        <f t="shared" si="118"/>
        <v>0.5546875</v>
      </c>
      <c r="R207" s="64">
        <v>44956</v>
      </c>
      <c r="S207" s="54" t="s">
        <v>41</v>
      </c>
      <c r="T207" s="62" t="s">
        <v>60</v>
      </c>
      <c r="U207" s="16">
        <f t="shared" ca="1" si="119"/>
        <v>-2.4438356164383563</v>
      </c>
      <c r="V207" s="11" t="str">
        <v>All</v>
      </c>
      <c r="X207" t="e">
        <f t="shared" ca="1" si="105"/>
        <v>#VALUE!</v>
      </c>
      <c r="Z207" s="17">
        <f t="shared" ca="1" si="106"/>
        <v>46213</v>
      </c>
      <c r="AG207" s="33" t="e">
        <f t="shared" ca="1" si="107"/>
        <v>#VALUE!</v>
      </c>
      <c r="AH207" t="e">
        <f t="shared" ca="1" si="108"/>
        <v>#VALUE!</v>
      </c>
      <c r="AI207" t="e">
        <f t="shared" ca="1" si="109"/>
        <v>#VALUE!</v>
      </c>
      <c r="AJ207" t="e">
        <f t="shared" ca="1" si="110"/>
        <v>#VALUE!</v>
      </c>
      <c r="AK207" t="e">
        <f t="shared" ca="1" si="111"/>
        <v>#VALUE!</v>
      </c>
    </row>
    <row r="208" spans="1:37" ht="17.25" customHeight="1">
      <c r="A208" s="19"/>
      <c r="B208" s="45" t="s">
        <v>211</v>
      </c>
      <c r="C208" s="28" t="s">
        <v>27</v>
      </c>
      <c r="D208" s="28" t="s">
        <v>27</v>
      </c>
      <c r="E208" s="28" t="s">
        <v>117</v>
      </c>
      <c r="F208" s="36" t="s">
        <v>29</v>
      </c>
      <c r="G208" s="28" t="s">
        <v>30</v>
      </c>
      <c r="H208" s="51" t="str">
        <f>HYPERLINK("https://innovativeincomeinvestor.com/security/cowen-inc-7-75-senior-notes-due-2033/","COWNL")</f>
        <v>COWNL</v>
      </c>
      <c r="I208" s="47">
        <v>7.7499999999999999E-2</v>
      </c>
      <c r="J208" s="86" t="s">
        <v>68</v>
      </c>
      <c r="K208" s="87" t="s">
        <v>68</v>
      </c>
      <c r="L208" s="88" t="s">
        <v>68</v>
      </c>
      <c r="M208" s="88" t="s">
        <v>68</v>
      </c>
      <c r="N208" s="28" t="s">
        <v>31</v>
      </c>
      <c r="O208" s="28" t="s">
        <v>32</v>
      </c>
      <c r="P208" s="28" t="s">
        <v>32</v>
      </c>
      <c r="Q208" s="29">
        <f t="shared" si="118"/>
        <v>0.484375</v>
      </c>
      <c r="R208" s="153">
        <v>45092</v>
      </c>
      <c r="S208" s="153">
        <v>48745</v>
      </c>
      <c r="T208" s="154" t="s">
        <v>52</v>
      </c>
      <c r="U208" s="16">
        <f t="shared" ca="1" si="119"/>
        <v>-2.0712328767123287</v>
      </c>
      <c r="V208" s="11" t="str">
        <v>All</v>
      </c>
      <c r="X208" t="e">
        <f t="shared" ca="1" si="105"/>
        <v>#VALUE!</v>
      </c>
      <c r="Z208" s="17">
        <f t="shared" ca="1" si="106"/>
        <v>46213</v>
      </c>
      <c r="AG208" s="33" t="e">
        <f t="shared" ca="1" si="107"/>
        <v>#VALUE!</v>
      </c>
      <c r="AH208" t="e">
        <f t="shared" ca="1" si="108"/>
        <v>#VALUE!</v>
      </c>
      <c r="AI208" t="e">
        <f t="shared" ca="1" si="109"/>
        <v>#VALUE!</v>
      </c>
      <c r="AJ208" t="e">
        <f t="shared" ca="1" si="110"/>
        <v>#VALUE!</v>
      </c>
      <c r="AK208" t="e">
        <f t="shared" ca="1" si="111"/>
        <v>#VALUE!</v>
      </c>
    </row>
    <row r="209" spans="1:37" ht="17.25" customHeight="1">
      <c r="A209" s="19"/>
      <c r="B209" s="45" t="s">
        <v>212</v>
      </c>
      <c r="C209" s="28" t="s">
        <v>35</v>
      </c>
      <c r="D209" s="28" t="s">
        <v>27</v>
      </c>
      <c r="E209" s="28" t="s">
        <v>63</v>
      </c>
      <c r="F209" s="36" t="s">
        <v>29</v>
      </c>
      <c r="G209" s="28" t="s">
        <v>38</v>
      </c>
      <c r="H209" s="46" t="str">
        <f>HYPERLINK("https://innovativeincomeinvestor.com/security/cto-realty-growth-inc-6-375-sereis-a-cumulative-redeemable-preferred-stock/","CTO-A")</f>
        <v>CTO-A</v>
      </c>
      <c r="I209" s="47">
        <v>6.3750000000000001E-2</v>
      </c>
      <c r="J209" s="65">
        <f ca="1">IFERROR(__xludf.DUMMYFUNCTION("GoogleFinance(H209)"),20.73)</f>
        <v>20.73</v>
      </c>
      <c r="K209" s="26" t="s">
        <v>49</v>
      </c>
      <c r="L209" s="27">
        <f t="shared" ref="L209:L211" ca="1" si="120">(Q209*4)/J209</f>
        <v>7.6881331403762659E-2</v>
      </c>
      <c r="M209" s="27">
        <f t="shared" ref="M209:M211" ca="1" si="121">L209*U209+(25-J209)/25/U209</f>
        <v>0.24873131704071455</v>
      </c>
      <c r="N209" s="28" t="s">
        <v>31</v>
      </c>
      <c r="O209" s="28" t="s">
        <v>32</v>
      </c>
      <c r="P209" s="28" t="s">
        <v>32</v>
      </c>
      <c r="Q209" s="29">
        <f t="shared" si="118"/>
        <v>0.3984375</v>
      </c>
      <c r="R209" s="153">
        <v>46209</v>
      </c>
      <c r="S209" s="155" t="s">
        <v>41</v>
      </c>
      <c r="T209" s="154" t="s">
        <v>42</v>
      </c>
      <c r="U209" s="16">
        <f t="shared" ca="1" si="119"/>
        <v>0.989041095890411</v>
      </c>
      <c r="V209" s="11" t="str">
        <v>All</v>
      </c>
      <c r="X209">
        <f t="shared" ca="1" si="105"/>
        <v>0.26358441573126784</v>
      </c>
      <c r="Z209" s="17">
        <f t="shared" ca="1" si="106"/>
        <v>46213</v>
      </c>
      <c r="AG209" s="33">
        <f t="shared" ca="1" si="107"/>
        <v>0.16583649851296253</v>
      </c>
      <c r="AH209">
        <f t="shared" ca="1" si="108"/>
        <v>0.10847545130853203</v>
      </c>
      <c r="AI209">
        <f t="shared" ca="1" si="109"/>
        <v>9.7745872431400982E-2</v>
      </c>
      <c r="AJ209">
        <f t="shared" ca="1" si="110"/>
        <v>8.9821154111269008E-2</v>
      </c>
      <c r="AK209">
        <f t="shared" ca="1" si="111"/>
        <v>8.1082509282458623E-2</v>
      </c>
    </row>
    <row r="210" spans="1:37" ht="17.25" customHeight="1">
      <c r="A210" s="19"/>
      <c r="B210" s="45" t="s">
        <v>213</v>
      </c>
      <c r="C210" s="28" t="s">
        <v>27</v>
      </c>
      <c r="D210" s="28" t="s">
        <v>35</v>
      </c>
      <c r="E210" s="28" t="s">
        <v>110</v>
      </c>
      <c r="F210" s="28" t="s">
        <v>29</v>
      </c>
      <c r="G210" s="28" t="s">
        <v>38</v>
      </c>
      <c r="H210" s="66" t="str">
        <f>HYPERLINK("https://innovativeincomeinvestor.com/security/cullen-frost-bankers-inc-4-45-non-cumulative-perpetual-preferred-stock-series-b/","CFR-B")</f>
        <v>CFR-B</v>
      </c>
      <c r="I210" s="47">
        <v>4.4499999999999998E-2</v>
      </c>
      <c r="J210" s="65">
        <f ca="1">IFERROR(__xludf.DUMMYFUNCTION("GoogleFinance(H210)"),17.51)</f>
        <v>17.510000000000002</v>
      </c>
      <c r="K210" s="65">
        <f ca="1">IFERROR(__xludf.DUMMYFUNCTION("googlefinance(H210,""change"")"),-0.3)</f>
        <v>-0.3</v>
      </c>
      <c r="L210" s="27">
        <f t="shared" ca="1" si="120"/>
        <v>6.350656767561394E-2</v>
      </c>
      <c r="M210" s="27">
        <f t="shared" ca="1" si="121"/>
        <v>0.71960443827733689</v>
      </c>
      <c r="N210" s="28" t="s">
        <v>39</v>
      </c>
      <c r="O210" s="28" t="s">
        <v>55</v>
      </c>
      <c r="P210" s="28" t="s">
        <v>76</v>
      </c>
      <c r="Q210" s="28">
        <v>0.27800000000000002</v>
      </c>
      <c r="R210" s="64">
        <v>46006</v>
      </c>
      <c r="S210" s="65" t="s">
        <v>41</v>
      </c>
      <c r="T210" s="62" t="s">
        <v>52</v>
      </c>
      <c r="U210" s="16">
        <f t="shared" ca="1" si="119"/>
        <v>0.43287671232876712</v>
      </c>
      <c r="V210" s="11" t="str">
        <v>All</v>
      </c>
      <c r="X210">
        <f t="shared" ca="1" si="105"/>
        <v>0.42838340918349394</v>
      </c>
      <c r="Z210" s="17">
        <f t="shared" ca="1" si="106"/>
        <v>46213</v>
      </c>
      <c r="AG210" s="33">
        <f t="shared" ca="1" si="107"/>
        <v>0.23689254021863565</v>
      </c>
      <c r="AH210">
        <f t="shared" ca="1" si="108"/>
        <v>0.12625207712005793</v>
      </c>
      <c r="AI210">
        <f t="shared" ca="1" si="109"/>
        <v>0.10562527110260794</v>
      </c>
      <c r="AJ210">
        <f t="shared" ca="1" si="110"/>
        <v>9.0332514589418073E-2</v>
      </c>
      <c r="AK210">
        <f t="shared" ca="1" si="111"/>
        <v>7.3139990460293028E-2</v>
      </c>
    </row>
    <row r="211" spans="1:37" ht="17.25" customHeight="1">
      <c r="A211" s="19"/>
      <c r="B211" s="45" t="s">
        <v>214</v>
      </c>
      <c r="C211" s="28" t="s">
        <v>27</v>
      </c>
      <c r="D211" s="28" t="s">
        <v>27</v>
      </c>
      <c r="E211" s="28" t="s">
        <v>110</v>
      </c>
      <c r="F211" s="28" t="s">
        <v>29</v>
      </c>
      <c r="G211" s="28" t="s">
        <v>30</v>
      </c>
      <c r="H211" s="83" t="str">
        <f>HYPERLINK("https://innovativeincomeinvestor.com/security/customers-bancorp-inc-5-375-subordinated-notes-due-december-2034/","CUBB")</f>
        <v>CUBB</v>
      </c>
      <c r="I211" s="47">
        <v>5.3699999999999998E-2</v>
      </c>
      <c r="J211" s="65">
        <f ca="1">IFERROR(__xludf.DUMMYFUNCTION("GoogleFinance(H211)"),19.92)</f>
        <v>19.920000000000002</v>
      </c>
      <c r="K211" s="65">
        <f ca="1">IFERROR(__xludf.DUMMYFUNCTION("googlefinance(H211,""change"")"),0)</f>
        <v>0</v>
      </c>
      <c r="L211" s="27">
        <f t="shared" ca="1" si="120"/>
        <v>6.7449799196787133E-2</v>
      </c>
      <c r="M211" s="27">
        <f t="shared" ca="1" si="121"/>
        <v>0.34734380051350072</v>
      </c>
      <c r="N211" s="28" t="s">
        <v>31</v>
      </c>
      <c r="O211" s="28" t="s">
        <v>32</v>
      </c>
      <c r="P211" s="28" t="s">
        <v>32</v>
      </c>
      <c r="Q211" s="29">
        <v>0.33589999999999998</v>
      </c>
      <c r="R211" s="53">
        <v>47482</v>
      </c>
      <c r="S211" s="61">
        <v>49308</v>
      </c>
      <c r="T211" s="62" t="s">
        <v>56</v>
      </c>
      <c r="U211" s="16">
        <f t="shared" ca="1" si="119"/>
        <v>4.4767123287671229</v>
      </c>
      <c r="V211" s="11" t="str">
        <v>All</v>
      </c>
      <c r="X211">
        <f t="shared" ca="1" si="105"/>
        <v>0.29580548120994249</v>
      </c>
      <c r="Z211" s="17">
        <f t="shared" ca="1" si="106"/>
        <v>46213</v>
      </c>
      <c r="AG211" s="33">
        <f t="shared" ca="1" si="107"/>
        <v>0.17648648254316696</v>
      </c>
      <c r="AH211">
        <f t="shared" ca="1" si="108"/>
        <v>0.10668762871610658</v>
      </c>
      <c r="AI211">
        <f t="shared" ca="1" si="109"/>
        <v>9.3620520253349021E-2</v>
      </c>
      <c r="AJ211">
        <f t="shared" ca="1" si="110"/>
        <v>8.3938279868049637E-2</v>
      </c>
      <c r="AK211">
        <f t="shared" ca="1" si="111"/>
        <v>7.3121743434855696E-2</v>
      </c>
    </row>
    <row r="212" spans="1:37" ht="17.25" customHeight="1">
      <c r="A212" s="19"/>
      <c r="B212" s="45" t="s">
        <v>214</v>
      </c>
      <c r="C212" s="28" t="s">
        <v>27</v>
      </c>
      <c r="D212" s="28" t="s">
        <v>35</v>
      </c>
      <c r="E212" s="28" t="s">
        <v>110</v>
      </c>
      <c r="F212" s="28" t="s">
        <v>46</v>
      </c>
      <c r="G212" s="28" t="s">
        <v>38</v>
      </c>
      <c r="H212" s="66" t="str">
        <f>HYPERLINK("https://innovativeincomeinvestor.com/security/customers-bancorp-6-45-fixfloat-rate-non-cumul-perp-preferred-stock-series-e/","CUBI-E")</f>
        <v>CUBI-E</v>
      </c>
      <c r="I212" s="47">
        <v>6.4500000000000002E-2</v>
      </c>
      <c r="J212" s="86" t="s">
        <v>68</v>
      </c>
      <c r="K212" s="87" t="s">
        <v>68</v>
      </c>
      <c r="L212" s="88" t="s">
        <v>68</v>
      </c>
      <c r="M212" s="52" t="s">
        <v>47</v>
      </c>
      <c r="N212" s="28" t="s">
        <v>31</v>
      </c>
      <c r="O212" s="28" t="s">
        <v>32</v>
      </c>
      <c r="P212" s="28" t="s">
        <v>32</v>
      </c>
      <c r="Q212" s="52" t="s">
        <v>47</v>
      </c>
      <c r="R212" s="64">
        <v>44362</v>
      </c>
      <c r="S212" s="65" t="s">
        <v>41</v>
      </c>
      <c r="T212" s="62" t="s">
        <v>52</v>
      </c>
      <c r="U212" s="16">
        <f t="shared" ca="1" si="119"/>
        <v>-4.0712328767123287</v>
      </c>
      <c r="V212" s="11" t="str">
        <v>All</v>
      </c>
      <c r="X212" t="e">
        <f t="shared" ca="1" si="105"/>
        <v>#VALUE!</v>
      </c>
      <c r="Z212" s="17">
        <f t="shared" ca="1" si="106"/>
        <v>46213</v>
      </c>
      <c r="AG212" s="33" t="e">
        <f t="shared" ca="1" si="107"/>
        <v>#VALUE!</v>
      </c>
      <c r="AH212" t="e">
        <f t="shared" ca="1" si="108"/>
        <v>#VALUE!</v>
      </c>
      <c r="AI212" t="e">
        <f t="shared" ca="1" si="109"/>
        <v>#VALUE!</v>
      </c>
      <c r="AJ212" t="e">
        <f t="shared" ca="1" si="110"/>
        <v>#VALUE!</v>
      </c>
      <c r="AK212" t="e">
        <f t="shared" ca="1" si="111"/>
        <v>#VALUE!</v>
      </c>
    </row>
    <row r="213" spans="1:37" ht="17.25" customHeight="1">
      <c r="A213" s="19"/>
      <c r="B213" s="45" t="s">
        <v>214</v>
      </c>
      <c r="C213" s="28" t="s">
        <v>27</v>
      </c>
      <c r="D213" s="28" t="s">
        <v>35</v>
      </c>
      <c r="E213" s="28" t="s">
        <v>110</v>
      </c>
      <c r="F213" s="28" t="s">
        <v>46</v>
      </c>
      <c r="G213" s="28" t="s">
        <v>38</v>
      </c>
      <c r="H213" s="66" t="str">
        <f>HYPERLINK("https://innovativeincomeinvestor.com/security/customers-bancorp-6-00-fixedfloat-non-cumul-perp-preferred-stock-series-f/","CUBI-F")</f>
        <v>CUBI-F</v>
      </c>
      <c r="I213" s="47">
        <v>0.06</v>
      </c>
      <c r="J213" s="86" t="s">
        <v>68</v>
      </c>
      <c r="K213" s="87" t="s">
        <v>68</v>
      </c>
      <c r="L213" s="88" t="s">
        <v>68</v>
      </c>
      <c r="M213" s="52" t="s">
        <v>47</v>
      </c>
      <c r="N213" s="28" t="s">
        <v>31</v>
      </c>
      <c r="O213" s="28" t="s">
        <v>32</v>
      </c>
      <c r="P213" s="28" t="s">
        <v>32</v>
      </c>
      <c r="Q213" s="52" t="s">
        <v>47</v>
      </c>
      <c r="R213" s="64">
        <v>44544</v>
      </c>
      <c r="S213" s="65" t="s">
        <v>41</v>
      </c>
      <c r="T213" s="62" t="s">
        <v>52</v>
      </c>
      <c r="U213" s="16">
        <f t="shared" ca="1" si="119"/>
        <v>-3.5726027397260274</v>
      </c>
      <c r="V213" s="11" t="str">
        <v>All</v>
      </c>
      <c r="X213" t="e">
        <f t="shared" ca="1" si="105"/>
        <v>#VALUE!</v>
      </c>
      <c r="Z213" s="17">
        <f t="shared" ca="1" si="106"/>
        <v>46213</v>
      </c>
      <c r="AG213" s="33" t="e">
        <f t="shared" ca="1" si="107"/>
        <v>#VALUE!</v>
      </c>
      <c r="AH213" t="e">
        <f t="shared" ca="1" si="108"/>
        <v>#VALUE!</v>
      </c>
      <c r="AI213" t="e">
        <f t="shared" ca="1" si="109"/>
        <v>#VALUE!</v>
      </c>
      <c r="AJ213" t="e">
        <f t="shared" ca="1" si="110"/>
        <v>#VALUE!</v>
      </c>
      <c r="AK213" t="e">
        <f t="shared" ca="1" si="111"/>
        <v>#VALUE!</v>
      </c>
    </row>
    <row r="214" spans="1:37" ht="17.25" customHeight="1">
      <c r="A214" s="19"/>
      <c r="B214" s="45" t="s">
        <v>215</v>
      </c>
      <c r="C214" s="28" t="s">
        <v>35</v>
      </c>
      <c r="D214" s="28" t="s">
        <v>27</v>
      </c>
      <c r="E214" s="28" t="s">
        <v>63</v>
      </c>
      <c r="F214" s="36" t="s">
        <v>29</v>
      </c>
      <c r="G214" s="28" t="s">
        <v>38</v>
      </c>
      <c r="H214" s="83" t="str">
        <f>HYPERLINK("https://innovativeincomeinvestor.com/security/diamondrock-hospitality-8-25-cumulative-redeemable-preferred-stock/","DRH-A")</f>
        <v>DRH-A</v>
      </c>
      <c r="I214" s="47">
        <v>8.2500000000000004E-2</v>
      </c>
      <c r="J214" s="65">
        <f ca="1">IFERROR(__xludf.DUMMYFUNCTION("GoogleFinance(H214)"),24.83)</f>
        <v>24.83</v>
      </c>
      <c r="K214" s="67">
        <f ca="1">IFERROR(__xludf.DUMMYFUNCTION("googlefinance(H214,""change"")"),0.25)</f>
        <v>0.25</v>
      </c>
      <c r="L214" s="27">
        <f t="shared" ref="L214:L221" ca="1" si="122">(Q214*4)/J214</f>
        <v>8.3064840918244065E-2</v>
      </c>
      <c r="M214" s="27">
        <f t="array" aca="1" ref="M214" ca="1">L214*U214+(25-J214)/25/U214</f>
        <v>5.9564664375286673E-2</v>
      </c>
      <c r="N214" s="28" t="s">
        <v>31</v>
      </c>
      <c r="O214" s="28" t="s">
        <v>32</v>
      </c>
      <c r="P214" s="28" t="s">
        <v>32</v>
      </c>
      <c r="Q214" s="29">
        <f t="shared" ref="Q214:Q221" si="123">(I214*25)/4</f>
        <v>0.515625</v>
      </c>
      <c r="R214" s="53">
        <v>45900</v>
      </c>
      <c r="S214" s="54" t="s">
        <v>41</v>
      </c>
      <c r="T214" s="62" t="s">
        <v>42</v>
      </c>
      <c r="U214" s="16">
        <f t="shared" ca="1" si="119"/>
        <v>0.14246575342465753</v>
      </c>
      <c r="V214" s="11" t="str">
        <v>All</v>
      </c>
      <c r="X214">
        <f t="shared" ca="1" si="105"/>
        <v>8.9685388204085739E-2</v>
      </c>
      <c r="Z214" s="17">
        <f t="shared" ca="1" si="106"/>
        <v>46213</v>
      </c>
      <c r="AG214" s="33">
        <f t="shared" ca="1" si="107"/>
        <v>8.6238065290337493E-2</v>
      </c>
      <c r="AH214">
        <f t="shared" ca="1" si="108"/>
        <v>8.4180458471954239E-2</v>
      </c>
      <c r="AI214">
        <f t="shared" ca="1" si="109"/>
        <v>8.3793753975024421E-2</v>
      </c>
      <c r="AJ214">
        <f t="shared" ca="1" si="110"/>
        <v>8.3509354372836561E-2</v>
      </c>
      <c r="AK214">
        <f t="shared" ca="1" si="111"/>
        <v>8.3199798949198614E-2</v>
      </c>
    </row>
    <row r="215" spans="1:37" ht="17.25" customHeight="1">
      <c r="A215" s="19"/>
      <c r="B215" s="45" t="s">
        <v>216</v>
      </c>
      <c r="C215" s="28" t="s">
        <v>35</v>
      </c>
      <c r="D215" s="28" t="s">
        <v>35</v>
      </c>
      <c r="E215" s="28" t="s">
        <v>119</v>
      </c>
      <c r="F215" s="36" t="s">
        <v>29</v>
      </c>
      <c r="G215" s="28" t="s">
        <v>38</v>
      </c>
      <c r="H215" s="66" t="str">
        <f>HYPERLINK("https://innovativeincomeinvestor.com/security/diana-shipping-8-875-series-b-cumulative-redeemable-perpetual-preferred-shares/","DSX-B")</f>
        <v>DSX-B</v>
      </c>
      <c r="I215" s="47">
        <v>8.8749999999999996E-2</v>
      </c>
      <c r="J215" s="56">
        <f ca="1">IFERROR(__xludf.DUMMYFUNCTION("importxml(""https://bigcharts.marketwatch.com/quickchart/quickchart.asp?symb=DSXPRB&amp;insttype=Stock"",""/html/body/div[1]/div[2]/table/tbody/tr/td[1]/table/tbody/tr[3]/td[1]/div"")"),26.635)</f>
        <v>26.635000000000002</v>
      </c>
      <c r="K215" s="67">
        <f ca="1">IFERROR(__xludf.DUMMYFUNCTION("googlefinance(H215,""change"")"),0.13)</f>
        <v>0.13</v>
      </c>
      <c r="L215" s="27">
        <f t="shared" ca="1" si="122"/>
        <v>8.3302046179838551E-2</v>
      </c>
      <c r="M215" s="27">
        <f ca="1">(25-J215)/25</f>
        <v>-6.5400000000000069E-2</v>
      </c>
      <c r="N215" s="28" t="s">
        <v>31</v>
      </c>
      <c r="O215" s="28" t="s">
        <v>32</v>
      </c>
      <c r="P215" s="28" t="s">
        <v>32</v>
      </c>
      <c r="Q215" s="29">
        <f t="shared" si="123"/>
        <v>0.5546875</v>
      </c>
      <c r="R215" s="64">
        <v>43538</v>
      </c>
      <c r="S215" s="54" t="s">
        <v>41</v>
      </c>
      <c r="T215" s="62" t="s">
        <v>60</v>
      </c>
      <c r="U215" s="16">
        <f t="shared" ca="1" si="119"/>
        <v>-6.3287671232876717</v>
      </c>
      <c r="V215" s="11" t="str">
        <v>All</v>
      </c>
      <c r="X215">
        <f t="shared" ca="1" si="105"/>
        <v>2.2430586302528078E-2</v>
      </c>
      <c r="Z215" s="17">
        <f t="shared" ca="1" si="106"/>
        <v>46213</v>
      </c>
      <c r="AG215" s="33">
        <f t="shared" ca="1" si="107"/>
        <v>5.4031218339521798E-2</v>
      </c>
      <c r="AH215">
        <f t="shared" ca="1" si="108"/>
        <v>7.301206386628635E-2</v>
      </c>
      <c r="AI215">
        <f t="shared" ca="1" si="109"/>
        <v>7.6584884470369902E-2</v>
      </c>
      <c r="AJ215">
        <f t="shared" ca="1" si="110"/>
        <v>7.9215694722254079E-2</v>
      </c>
      <c r="AK215">
        <f t="shared" ca="1" si="111"/>
        <v>8.206349569772993E-2</v>
      </c>
    </row>
    <row r="216" spans="1:37" ht="17.25" customHeight="1">
      <c r="A216" s="19"/>
      <c r="B216" s="45" t="s">
        <v>217</v>
      </c>
      <c r="C216" s="28" t="s">
        <v>35</v>
      </c>
      <c r="D216" s="28" t="s">
        <v>27</v>
      </c>
      <c r="E216" s="28" t="s">
        <v>63</v>
      </c>
      <c r="F216" s="36" t="s">
        <v>29</v>
      </c>
      <c r="G216" s="28" t="s">
        <v>38</v>
      </c>
      <c r="H216" s="66" t="str">
        <f>HYPERLINK("https://innovativeincomeinvestor.com/security/digital-realty-trust-5-85-series-k-cumulative-redeemable-preferred-stock/","DLR-K")</f>
        <v>DLR-K</v>
      </c>
      <c r="I216" s="47">
        <v>5.8500000000000003E-2</v>
      </c>
      <c r="J216" s="65">
        <f ca="1">IFERROR(__xludf.DUMMYFUNCTION("GoogleFinance(H216)"),23.31)</f>
        <v>23.31</v>
      </c>
      <c r="K216" s="48">
        <f ca="1">IFERROR(__xludf.DUMMYFUNCTION("googlefinance(H216,""change"")"),0.1)</f>
        <v>0.1</v>
      </c>
      <c r="L216" s="27">
        <f t="shared" ca="1" si="122"/>
        <v>6.2741312741312755E-2</v>
      </c>
      <c r="M216" s="27">
        <f t="array" aca="1" ref="M216" ca="1">L216*U216+(25-J216)/25/U216</f>
        <v>-0.13417603847803106</v>
      </c>
      <c r="N216" s="28" t="s">
        <v>39</v>
      </c>
      <c r="O216" s="28" t="s">
        <v>69</v>
      </c>
      <c r="P216" s="28" t="s">
        <v>64</v>
      </c>
      <c r="Q216" s="29">
        <f t="shared" si="123"/>
        <v>0.36562500000000003</v>
      </c>
      <c r="R216" s="64">
        <v>45364</v>
      </c>
      <c r="S216" s="54" t="s">
        <v>41</v>
      </c>
      <c r="T216" s="62" t="s">
        <v>42</v>
      </c>
      <c r="U216" s="16">
        <f t="shared" ca="1" si="119"/>
        <v>-1.3260273972602741</v>
      </c>
      <c r="V216" s="11" t="str">
        <v>All</v>
      </c>
      <c r="X216">
        <f t="shared" ca="1" si="105"/>
        <v>0.1317569067514052</v>
      </c>
      <c r="Z216" s="17">
        <f t="shared" ca="1" si="106"/>
        <v>46213</v>
      </c>
      <c r="AG216" s="33">
        <f t="shared" ca="1" si="107"/>
        <v>9.6053488120606587E-2</v>
      </c>
      <c r="AH216">
        <f t="shared" ca="1" si="108"/>
        <v>7.483871789048277E-2</v>
      </c>
      <c r="AI216">
        <f t="shared" ca="1" si="109"/>
        <v>7.0839214800131625E-2</v>
      </c>
      <c r="AJ216">
        <f t="shared" ca="1" si="110"/>
        <v>6.7869861303704301E-2</v>
      </c>
      <c r="AK216">
        <f t="shared" ca="1" si="111"/>
        <v>6.4543655374041012E-2</v>
      </c>
    </row>
    <row r="217" spans="1:37" ht="17.25" customHeight="1">
      <c r="A217" s="19"/>
      <c r="B217" s="45" t="s">
        <v>217</v>
      </c>
      <c r="C217" s="28" t="s">
        <v>35</v>
      </c>
      <c r="D217" s="28" t="s">
        <v>27</v>
      </c>
      <c r="E217" s="28" t="s">
        <v>63</v>
      </c>
      <c r="F217" s="36" t="s">
        <v>29</v>
      </c>
      <c r="G217" s="28" t="s">
        <v>38</v>
      </c>
      <c r="H217" s="51" t="str">
        <f>HYPERLINK("https://innovativeincomeinvestor.com/security/digital-realty-5-25/","DLR-J")</f>
        <v>DLR-J</v>
      </c>
      <c r="I217" s="47">
        <v>5.2499999999999998E-2</v>
      </c>
      <c r="J217" s="65">
        <f ca="1">IFERROR(__xludf.DUMMYFUNCTION("GoogleFinance(H217)"),21.3)</f>
        <v>21.3</v>
      </c>
      <c r="K217" s="48">
        <f ca="1">IFERROR(__xludf.DUMMYFUNCTION("googlefinance(H217,""change"")"),-0.08)</f>
        <v>-0.08</v>
      </c>
      <c r="L217" s="27">
        <f t="shared" ca="1" si="122"/>
        <v>6.1619718309859156E-2</v>
      </c>
      <c r="M217" s="27">
        <f ca="1">(25-J217)/25</f>
        <v>0.14799999999999996</v>
      </c>
      <c r="N217" s="28" t="s">
        <v>39</v>
      </c>
      <c r="O217" s="28" t="s">
        <v>69</v>
      </c>
      <c r="P217" s="28" t="s">
        <v>64</v>
      </c>
      <c r="Q217" s="29">
        <f t="shared" si="123"/>
        <v>0.328125</v>
      </c>
      <c r="R217" s="64">
        <v>44780</v>
      </c>
      <c r="S217" s="54" t="s">
        <v>41</v>
      </c>
      <c r="T217" s="62" t="s">
        <v>42</v>
      </c>
      <c r="U217" s="16">
        <f t="shared" ca="1" si="119"/>
        <v>-2.9260273972602739</v>
      </c>
      <c r="V217" s="11" t="str">
        <v>All</v>
      </c>
      <c r="X217">
        <f t="shared" ca="1" si="105"/>
        <v>0.22154479169330116</v>
      </c>
      <c r="Z217" s="17">
        <f t="shared" ca="1" si="106"/>
        <v>46213</v>
      </c>
      <c r="AG217" s="33">
        <f t="shared" ca="1" si="107"/>
        <v>0.13848619888197075</v>
      </c>
      <c r="AH217">
        <f t="shared" ca="1" si="108"/>
        <v>8.9561249525363706E-2</v>
      </c>
      <c r="AI217">
        <f t="shared" ca="1" si="109"/>
        <v>8.0366956063570805E-2</v>
      </c>
      <c r="AJ217">
        <f t="shared" ca="1" si="110"/>
        <v>7.354037617634325E-2</v>
      </c>
      <c r="AK217">
        <f t="shared" ca="1" si="111"/>
        <v>6.5871842265759609E-2</v>
      </c>
    </row>
    <row r="218" spans="1:37" ht="17.25" customHeight="1">
      <c r="A218" s="19"/>
      <c r="B218" s="45" t="s">
        <v>217</v>
      </c>
      <c r="C218" s="28" t="s">
        <v>35</v>
      </c>
      <c r="D218" s="28" t="s">
        <v>27</v>
      </c>
      <c r="E218" s="28" t="s">
        <v>218</v>
      </c>
      <c r="F218" s="36" t="s">
        <v>29</v>
      </c>
      <c r="G218" s="28" t="s">
        <v>38</v>
      </c>
      <c r="H218" s="83" t="str">
        <f>HYPERLINK("https://innovativeincomeinvestor.com/security/digital-realty-trust-5-20-series-l-cumulative-redeemable-preferred-stock/","DLR-L")</f>
        <v>DLR-L</v>
      </c>
      <c r="I218" s="47">
        <v>5.1999999999999998E-2</v>
      </c>
      <c r="J218" s="65">
        <f ca="1">IFERROR(__xludf.DUMMYFUNCTION("GoogleFinance(H218)"),20.38)</f>
        <v>20.38</v>
      </c>
      <c r="K218" s="67">
        <f ca="1">IFERROR(__xludf.DUMMYFUNCTION("googlefinance(H218,""change"")"),0.12)</f>
        <v>0.12</v>
      </c>
      <c r="L218" s="27">
        <f t="shared" ca="1" si="122"/>
        <v>6.3788027477919534E-2</v>
      </c>
      <c r="M218" s="27">
        <f t="array" aca="1" ref="M218" ca="1">L218*U218+(25-J218)/25/U218</f>
        <v>-0.29478687239602458</v>
      </c>
      <c r="N218" s="28" t="s">
        <v>39</v>
      </c>
      <c r="O218" s="28" t="s">
        <v>69</v>
      </c>
      <c r="P218" s="28" t="s">
        <v>64</v>
      </c>
      <c r="Q218" s="29">
        <f t="shared" si="123"/>
        <v>0.32500000000000001</v>
      </c>
      <c r="R218" s="64">
        <v>45575</v>
      </c>
      <c r="S218" s="54" t="s">
        <v>41</v>
      </c>
      <c r="T218" s="50" t="s">
        <v>42</v>
      </c>
      <c r="U218" s="16">
        <f t="shared" ca="1" si="119"/>
        <v>-0.74794520547945209</v>
      </c>
      <c r="V218" s="11" t="str">
        <v>All</v>
      </c>
      <c r="X218">
        <f t="shared" ca="1" si="105"/>
        <v>0.26886247230349425</v>
      </c>
      <c r="Z218" s="17">
        <f t="shared" ca="1" si="106"/>
        <v>46213</v>
      </c>
      <c r="AG218" s="33">
        <f t="shared" ca="1" si="107"/>
        <v>0.16202094216160115</v>
      </c>
      <c r="AH218">
        <f t="shared" ca="1" si="108"/>
        <v>9.9366598607063136E-2</v>
      </c>
      <c r="AI218">
        <f t="shared" ca="1" si="109"/>
        <v>8.7617582050879675E-2</v>
      </c>
      <c r="AJ218">
        <f t="shared" ca="1" si="110"/>
        <v>7.890149238433658E-2</v>
      </c>
      <c r="AK218">
        <f t="shared" ca="1" si="111"/>
        <v>6.9127501837266972E-2</v>
      </c>
    </row>
    <row r="219" spans="1:37" ht="17.25" customHeight="1">
      <c r="A219" s="19"/>
      <c r="B219" s="45" t="s">
        <v>219</v>
      </c>
      <c r="C219" s="28" t="s">
        <v>35</v>
      </c>
      <c r="D219" s="36" t="s">
        <v>27</v>
      </c>
      <c r="E219" s="28" t="s">
        <v>220</v>
      </c>
      <c r="F219" s="36" t="s">
        <v>29</v>
      </c>
      <c r="G219" s="28" t="s">
        <v>38</v>
      </c>
      <c r="H219" s="66" t="str">
        <f>HYPERLINK("https://innovativeincomeinvestor.com/security/colony-northstar-7-125-series-j-cumulative-redeemable-perpetual-preferred-stock/","DBRG-J")</f>
        <v>DBRG-J</v>
      </c>
      <c r="I219" s="47">
        <v>7.1249999999999994E-2</v>
      </c>
      <c r="J219" s="65">
        <f ca="1">IFERROR(__xludf.DUMMYFUNCTION("GoogleFinance(H219)"),20.95)</f>
        <v>20.95</v>
      </c>
      <c r="K219" s="48">
        <f ca="1">IFERROR(__xludf.DUMMYFUNCTION("googlefinance(H219,""change"")"),0.1)</f>
        <v>0.1</v>
      </c>
      <c r="L219" s="27">
        <f t="shared" ca="1" si="122"/>
        <v>8.5023866348448676E-2</v>
      </c>
      <c r="M219" s="27">
        <f t="shared" ref="M219:M223" ca="1" si="124">(25-J219)/25</f>
        <v>0.16200000000000003</v>
      </c>
      <c r="N219" s="28" t="s">
        <v>31</v>
      </c>
      <c r="O219" s="28" t="s">
        <v>32</v>
      </c>
      <c r="P219" s="28" t="s">
        <v>32</v>
      </c>
      <c r="Q219" s="29">
        <f t="shared" si="123"/>
        <v>0.44531249999999994</v>
      </c>
      <c r="R219" s="64">
        <v>44826</v>
      </c>
      <c r="S219" s="54" t="s">
        <v>41</v>
      </c>
      <c r="T219" s="62" t="s">
        <v>60</v>
      </c>
      <c r="U219" s="16">
        <f t="shared" ca="1" si="119"/>
        <v>-2.8</v>
      </c>
      <c r="V219" s="11" t="str">
        <v>All</v>
      </c>
      <c r="X219">
        <f t="shared" ca="1" si="105"/>
        <v>0.26045152316255671</v>
      </c>
      <c r="Z219" s="17">
        <f t="shared" ca="1" si="106"/>
        <v>46213</v>
      </c>
      <c r="AG219" s="33">
        <f t="shared" ca="1" si="107"/>
        <v>0.16832488214297231</v>
      </c>
      <c r="AH219">
        <f t="shared" ca="1" si="108"/>
        <v>0.11424558691271015</v>
      </c>
      <c r="AI219">
        <f t="shared" ca="1" si="109"/>
        <v>0.10414905651065393</v>
      </c>
      <c r="AJ219">
        <f t="shared" ca="1" si="110"/>
        <v>9.6715963287382564E-2</v>
      </c>
      <c r="AK219">
        <f t="shared" ca="1" si="111"/>
        <v>8.8617868334691527E-2</v>
      </c>
    </row>
    <row r="220" spans="1:37" ht="17.25" customHeight="1">
      <c r="A220" s="19"/>
      <c r="B220" s="45" t="s">
        <v>219</v>
      </c>
      <c r="C220" s="28" t="s">
        <v>35</v>
      </c>
      <c r="D220" s="36" t="s">
        <v>27</v>
      </c>
      <c r="E220" s="28" t="s">
        <v>220</v>
      </c>
      <c r="F220" s="36" t="s">
        <v>29</v>
      </c>
      <c r="G220" s="28" t="s">
        <v>38</v>
      </c>
      <c r="H220" s="66" t="str">
        <f>HYPERLINK("https://innovativeincomeinvestor.com/security/colony-northstar-7-15-series-i-cumulative-redeemable-perpetual-preferred-stock/","DBRG-I")</f>
        <v>DBRG-I</v>
      </c>
      <c r="I220" s="47">
        <v>7.1499999999999994E-2</v>
      </c>
      <c r="J220" s="25">
        <f ca="1">IFERROR(__xludf.DUMMYFUNCTION("GoogleFinance(H220)"),20.98)</f>
        <v>20.98</v>
      </c>
      <c r="K220" s="67">
        <f ca="1">IFERROR(__xludf.DUMMYFUNCTION("googlefinance(H220,""change"")"),-0.02)</f>
        <v>-0.02</v>
      </c>
      <c r="L220" s="27">
        <f t="shared" ca="1" si="122"/>
        <v>8.5200190657769292E-2</v>
      </c>
      <c r="M220" s="27">
        <f t="shared" ca="1" si="124"/>
        <v>0.16079999999999997</v>
      </c>
      <c r="N220" s="28" t="s">
        <v>31</v>
      </c>
      <c r="O220" s="28" t="s">
        <v>32</v>
      </c>
      <c r="P220" s="28" t="s">
        <v>32</v>
      </c>
      <c r="Q220" s="29">
        <f t="shared" si="123"/>
        <v>0.44687499999999997</v>
      </c>
      <c r="R220" s="64">
        <v>44717</v>
      </c>
      <c r="S220" s="54" t="s">
        <v>41</v>
      </c>
      <c r="T220" s="62" t="s">
        <v>60</v>
      </c>
      <c r="U220" s="16">
        <f t="shared" ca="1" si="119"/>
        <v>-3.0986301369863014</v>
      </c>
      <c r="V220" s="11" t="str">
        <v>All</v>
      </c>
      <c r="X220">
        <f t="shared" ca="1" si="105"/>
        <v>0.259162471669941</v>
      </c>
      <c r="Z220" s="17">
        <f t="shared" ca="1" si="106"/>
        <v>46213</v>
      </c>
      <c r="AG220" s="33">
        <f t="shared" ca="1" si="107"/>
        <v>0.16780425842682783</v>
      </c>
      <c r="AH220">
        <f t="shared" ca="1" si="108"/>
        <v>0.11416955056654293</v>
      </c>
      <c r="AI220">
        <f t="shared" ca="1" si="109"/>
        <v>0.10415606403124478</v>
      </c>
      <c r="AJ220">
        <f t="shared" ca="1" si="110"/>
        <v>9.6784677291329974E-2</v>
      </c>
      <c r="AK220">
        <f t="shared" ca="1" si="111"/>
        <v>8.8756350634853251E-2</v>
      </c>
    </row>
    <row r="221" spans="1:37" ht="17.25" customHeight="1">
      <c r="A221" s="19"/>
      <c r="B221" s="45" t="s">
        <v>219</v>
      </c>
      <c r="C221" s="28" t="s">
        <v>35</v>
      </c>
      <c r="D221" s="36" t="s">
        <v>27</v>
      </c>
      <c r="E221" s="28" t="s">
        <v>220</v>
      </c>
      <c r="F221" s="36" t="s">
        <v>29</v>
      </c>
      <c r="G221" s="21" t="s">
        <v>38</v>
      </c>
      <c r="H221" s="66" t="str">
        <f>HYPERLINK("https://innovativeincomeinvestor.com/security/digitalbridge-7-125-cumulative-redeemable-preferred-stock-series-h/","DBRG-H")</f>
        <v>DBRG-H</v>
      </c>
      <c r="I221" s="47">
        <v>7.1249999999999994E-2</v>
      </c>
      <c r="J221" s="65">
        <f ca="1">IFERROR(__xludf.DUMMYFUNCTION("GoogleFinance(H221)"),21.38)</f>
        <v>21.38</v>
      </c>
      <c r="K221" s="48">
        <f ca="1">IFERROR(__xludf.DUMMYFUNCTION("googlefinance(H221,""change"")"),0.12)</f>
        <v>0.12</v>
      </c>
      <c r="L221" s="27">
        <f t="shared" ca="1" si="122"/>
        <v>8.3313844714686613E-2</v>
      </c>
      <c r="M221" s="27">
        <f t="shared" ca="1" si="124"/>
        <v>0.14480000000000004</v>
      </c>
      <c r="N221" s="28" t="s">
        <v>31</v>
      </c>
      <c r="O221" s="28" t="s">
        <v>32</v>
      </c>
      <c r="P221" s="28" t="s">
        <v>32</v>
      </c>
      <c r="Q221" s="29">
        <f t="shared" si="123"/>
        <v>0.44531249999999994</v>
      </c>
      <c r="R221" s="64">
        <v>43936</v>
      </c>
      <c r="S221" s="54" t="s">
        <v>41</v>
      </c>
      <c r="T221" s="62" t="s">
        <v>60</v>
      </c>
      <c r="U221" s="16">
        <f t="shared" ca="1" si="119"/>
        <v>-5.2383561643835614</v>
      </c>
      <c r="V221" s="11" t="str">
        <v>All</v>
      </c>
      <c r="X221">
        <f t="shared" ca="1" si="105"/>
        <v>0.23823315889067034</v>
      </c>
      <c r="Z221" s="17">
        <f t="shared" ca="1" si="106"/>
        <v>46213</v>
      </c>
      <c r="AG221" s="33">
        <f t="shared" ca="1" si="107"/>
        <v>0.15701217782636559</v>
      </c>
      <c r="AH221">
        <f t="shared" ca="1" si="108"/>
        <v>0.10923429165293735</v>
      </c>
      <c r="AI221">
        <f t="shared" ca="1" si="109"/>
        <v>0.10030368828563327</v>
      </c>
      <c r="AJ221">
        <f t="shared" ca="1" si="110"/>
        <v>9.3724596009574543E-2</v>
      </c>
      <c r="AK221">
        <f t="shared" ca="1" si="111"/>
        <v>8.6543264457805857E-2</v>
      </c>
    </row>
    <row r="222" spans="1:37" ht="17.25" customHeight="1">
      <c r="A222" s="19"/>
      <c r="B222" s="45" t="s">
        <v>221</v>
      </c>
      <c r="C222" s="28" t="s">
        <v>35</v>
      </c>
      <c r="D222" s="28" t="s">
        <v>27</v>
      </c>
      <c r="E222" s="28" t="s">
        <v>67</v>
      </c>
      <c r="F222" s="36" t="s">
        <v>29</v>
      </c>
      <c r="G222" s="120" t="s">
        <v>71</v>
      </c>
      <c r="H222" s="66" t="str">
        <f>HYPERLINK("https://innovativeincomeinvestor.com/security/dillards-capital-trust-i-7-50-capital-securities/","DDT")</f>
        <v>DDT</v>
      </c>
      <c r="I222" s="47">
        <v>7.4999999999999997E-2</v>
      </c>
      <c r="J222" s="26">
        <f ca="1">IFERROR(__xludf.DUMMYFUNCTION("GOOGLEFINANCE(H222)"),25.84)</f>
        <v>25.84</v>
      </c>
      <c r="K222" s="48">
        <f ca="1">IFERROR(__xludf.DUMMYFUNCTION("googlefinance(H222,""change"")"),0.02)</f>
        <v>0.02</v>
      </c>
      <c r="L222" s="27">
        <f t="shared" ref="L222:L224" ca="1" si="125">Q222*4/J222</f>
        <v>7.275541795665634E-2</v>
      </c>
      <c r="M222" s="27">
        <f t="shared" ca="1" si="124"/>
        <v>-3.3599999999999991E-2</v>
      </c>
      <c r="N222" s="28" t="s">
        <v>39</v>
      </c>
      <c r="O222" s="28" t="s">
        <v>55</v>
      </c>
      <c r="P222" s="28" t="s">
        <v>83</v>
      </c>
      <c r="Q222" s="29">
        <v>0.47</v>
      </c>
      <c r="R222" s="64">
        <v>37845</v>
      </c>
      <c r="S222" s="64">
        <v>50618</v>
      </c>
      <c r="T222" s="62" t="s">
        <v>101</v>
      </c>
      <c r="U222" s="16">
        <f t="shared" ca="1" si="119"/>
        <v>-21.926027397260274</v>
      </c>
      <c r="V222" s="11" t="str">
        <v>All</v>
      </c>
      <c r="X222">
        <f t="shared" ca="1" si="105"/>
        <v>4.0544276954187643E-2</v>
      </c>
      <c r="Z222" s="17">
        <f t="shared" ca="1" si="106"/>
        <v>46213</v>
      </c>
      <c r="AG222" s="33">
        <f t="shared" ca="1" si="107"/>
        <v>5.7102911114672757E-2</v>
      </c>
      <c r="AH222">
        <f t="shared" ca="1" si="108"/>
        <v>6.7031317449686281E-2</v>
      </c>
      <c r="AI222">
        <f t="shared" ca="1" si="109"/>
        <v>6.8904854758046502E-2</v>
      </c>
      <c r="AJ222">
        <f t="shared" ca="1" si="110"/>
        <v>7.0291317954482957E-2</v>
      </c>
      <c r="AK222">
        <f t="shared" ca="1" si="111"/>
        <v>7.18195095888194E-2</v>
      </c>
    </row>
    <row r="223" spans="1:37" ht="17.25" customHeight="1">
      <c r="A223" s="19"/>
      <c r="B223" s="45" t="s">
        <v>222</v>
      </c>
      <c r="C223" s="28" t="s">
        <v>27</v>
      </c>
      <c r="D223" s="28" t="s">
        <v>35</v>
      </c>
      <c r="E223" s="28" t="s">
        <v>110</v>
      </c>
      <c r="F223" s="36" t="s">
        <v>29</v>
      </c>
      <c r="G223" s="28" t="s">
        <v>38</v>
      </c>
      <c r="H223" s="83" t="str">
        <f>HYPERLINK("https://innovativeincomeinvestor.com/security/dime-community-bancshares-5-50-non-cumulative-perpetual-preferred-stock-series-a/","DCOMP")</f>
        <v>DCOMP</v>
      </c>
      <c r="I223" s="47">
        <v>5.5E-2</v>
      </c>
      <c r="J223" s="150">
        <f ca="1">IFERROR(__xludf.DUMMYFUNCTION("GOOGLEFINANCE(H223)"),19.42)</f>
        <v>19.420000000000002</v>
      </c>
      <c r="K223" s="57">
        <f ca="1">IFERROR(__xludf.DUMMYFUNCTION("googlefinance(H223,""change"")"),0.12)</f>
        <v>0.12</v>
      </c>
      <c r="L223" s="97">
        <f t="shared" ca="1" si="125"/>
        <v>7.0803295571575692E-2</v>
      </c>
      <c r="M223" s="27">
        <f t="shared" ca="1" si="124"/>
        <v>0.22319999999999993</v>
      </c>
      <c r="N223" s="28" t="s">
        <v>31</v>
      </c>
      <c r="O223" s="28" t="s">
        <v>223</v>
      </c>
      <c r="P223" s="28" t="s">
        <v>32</v>
      </c>
      <c r="Q223" s="29">
        <f>(I223*25)/4</f>
        <v>0.34375</v>
      </c>
      <c r="R223" s="64">
        <v>45703</v>
      </c>
      <c r="S223" s="28" t="s">
        <v>41</v>
      </c>
      <c r="T223" s="62" t="s">
        <v>33</v>
      </c>
      <c r="U223" s="16">
        <f t="shared" ca="1" si="119"/>
        <v>-0.39726027397260272</v>
      </c>
      <c r="V223" s="11" t="str">
        <v>All</v>
      </c>
      <c r="X223">
        <f t="shared" ca="1" si="105"/>
        <v>0.32535921752197866</v>
      </c>
      <c r="Z223" s="17">
        <f t="shared" ca="1" si="106"/>
        <v>46213</v>
      </c>
      <c r="AG223" s="33">
        <f t="shared" ca="1" si="107"/>
        <v>0.1920243771938227</v>
      </c>
      <c r="AH223">
        <f t="shared" ca="1" si="108"/>
        <v>0.11423772231294821</v>
      </c>
      <c r="AI223">
        <f t="shared" ca="1" si="109"/>
        <v>9.9700253893162644E-2</v>
      </c>
      <c r="AJ223">
        <f t="shared" ca="1" si="110"/>
        <v>8.8941146302004503E-2</v>
      </c>
      <c r="AK223">
        <f t="shared" ca="1" si="111"/>
        <v>7.6964556687600841E-2</v>
      </c>
    </row>
    <row r="224" spans="1:37" ht="17.25" customHeight="1">
      <c r="A224" s="68"/>
      <c r="B224" s="69" t="s">
        <v>222</v>
      </c>
      <c r="C224" s="36" t="s">
        <v>27</v>
      </c>
      <c r="D224" s="36" t="s">
        <v>27</v>
      </c>
      <c r="E224" s="28" t="s">
        <v>110</v>
      </c>
      <c r="F224" s="36" t="s">
        <v>29</v>
      </c>
      <c r="G224" s="28" t="s">
        <v>30</v>
      </c>
      <c r="H224" s="23" t="str">
        <f>HYPERLINK("https://innovativeincomeinvestor.com/security/dime-community-bancshares-9-00-fixed-to-floating-rate-subordinated-notes-due-2024/","DCOMG")</f>
        <v>DCOMG</v>
      </c>
      <c r="I224" s="47">
        <v>0.09</v>
      </c>
      <c r="J224" s="150">
        <f ca="1">IFERROR(__xludf.DUMMYFUNCTION("GOOGLEFINANCE(H224)"),26.68)</f>
        <v>26.68</v>
      </c>
      <c r="K224" s="57">
        <f ca="1">IFERROR(__xludf.DUMMYFUNCTION("googlefinance(H224,""change"")"),-0.27)</f>
        <v>-0.27</v>
      </c>
      <c r="L224" s="97">
        <f t="shared" ca="1" si="125"/>
        <v>8.2458770614692659E-2</v>
      </c>
      <c r="M224" s="27">
        <f t="array" aca="1" ref="M224" ca="1">L224*U224+(25-J224)/25/U224</f>
        <v>0.31445932762561513</v>
      </c>
      <c r="N224" s="28" t="s">
        <v>31</v>
      </c>
      <c r="O224" s="28" t="s">
        <v>30</v>
      </c>
      <c r="P224" s="28" t="s">
        <v>64</v>
      </c>
      <c r="Q224" s="65">
        <v>0.55000000000000004</v>
      </c>
      <c r="R224" s="64">
        <v>47314</v>
      </c>
      <c r="S224" s="64">
        <v>49140</v>
      </c>
      <c r="T224" s="62" t="s">
        <v>60</v>
      </c>
      <c r="U224" s="16">
        <f t="shared" ca="1" si="119"/>
        <v>4.0164383561643833</v>
      </c>
      <c r="V224" s="11" t="str">
        <v>All</v>
      </c>
      <c r="X224">
        <f t="shared" ca="1" si="105"/>
        <v>2.1878592933320097E-2</v>
      </c>
      <c r="Z224" s="17">
        <f t="shared" ca="1" si="106"/>
        <v>46213</v>
      </c>
      <c r="AG224" s="33">
        <f t="shared" ca="1" si="107"/>
        <v>5.4314608412394855E-2</v>
      </c>
      <c r="AH224">
        <f t="shared" ca="1" si="108"/>
        <v>7.3798017474638808E-2</v>
      </c>
      <c r="AI224">
        <f t="shared" ca="1" si="109"/>
        <v>7.7464284783323831E-2</v>
      </c>
      <c r="AJ224">
        <f t="shared" ca="1" si="110"/>
        <v>8.0162523166401961E-2</v>
      </c>
      <c r="AK224">
        <f t="shared" ca="1" si="111"/>
        <v>8.3077974943677413E-2</v>
      </c>
    </row>
    <row r="225" spans="1:37" ht="17.25" customHeight="1">
      <c r="A225" s="68"/>
      <c r="B225" s="69" t="s">
        <v>224</v>
      </c>
      <c r="C225" s="36" t="s">
        <v>35</v>
      </c>
      <c r="D225" s="36" t="s">
        <v>27</v>
      </c>
      <c r="E225" s="28" t="s">
        <v>63</v>
      </c>
      <c r="F225" s="36" t="s">
        <v>29</v>
      </c>
      <c r="G225" s="28" t="s">
        <v>30</v>
      </c>
      <c r="H225" s="66" t="str">
        <f>HYPERLINK("https://innovativeincomeinvestor.com/security/senior-housing-properties-trust-5-625-senior-notes-due-2042/","DHCNI")</f>
        <v>DHCNI</v>
      </c>
      <c r="I225" s="47">
        <v>5.6250000000000001E-2</v>
      </c>
      <c r="J225" s="65">
        <f ca="1">IFERROR(__xludf.DUMMYFUNCTION("GoogleFinance(H225)"),16.17)</f>
        <v>16.170000000000002</v>
      </c>
      <c r="K225" s="26">
        <f ca="1">IFERROR(__xludf.DUMMYFUNCTION("GOOGLEFINANCE(H225,""change"")"),0.02)</f>
        <v>0.02</v>
      </c>
      <c r="L225" s="27">
        <f t="shared" ref="L225:L232" ca="1" si="126">(Q225*4)/J225</f>
        <v>8.6580086580086563E-2</v>
      </c>
      <c r="M225" s="27">
        <f t="shared" ref="M225:M227" ca="1" si="127">(25-J225)/25</f>
        <v>0.35319999999999996</v>
      </c>
      <c r="N225" s="28" t="s">
        <v>31</v>
      </c>
      <c r="O225" s="28" t="s">
        <v>223</v>
      </c>
      <c r="P225" s="28" t="s">
        <v>225</v>
      </c>
      <c r="Q225" s="65">
        <v>0.35</v>
      </c>
      <c r="R225" s="64">
        <v>42948</v>
      </c>
      <c r="S225" s="64">
        <v>52079</v>
      </c>
      <c r="T225" s="62" t="s">
        <v>101</v>
      </c>
      <c r="U225" s="16">
        <f t="shared" ca="1" si="119"/>
        <v>-7.9452054794520546</v>
      </c>
      <c r="V225" s="11" t="str">
        <v>All</v>
      </c>
      <c r="X225">
        <f t="shared" ca="1" si="105"/>
        <v>0.53490834561157508</v>
      </c>
      <c r="Z225" s="17">
        <f t="shared" ca="1" si="106"/>
        <v>46213</v>
      </c>
      <c r="AG225" s="33">
        <f t="shared" ca="1" si="107"/>
        <v>0.29668775439992295</v>
      </c>
      <c r="AH225">
        <f t="shared" ca="1" si="108"/>
        <v>0.16031624987030457</v>
      </c>
      <c r="AI225">
        <f t="shared" ca="1" si="109"/>
        <v>0.1350949710805871</v>
      </c>
      <c r="AJ225">
        <f t="shared" ca="1" si="110"/>
        <v>0.11653536382281295</v>
      </c>
      <c r="AK225">
        <f t="shared" ca="1" si="111"/>
        <v>9.6204586782802026E-2</v>
      </c>
    </row>
    <row r="226" spans="1:37" ht="17.25" customHeight="1">
      <c r="A226" s="19"/>
      <c r="B226" s="45" t="s">
        <v>224</v>
      </c>
      <c r="C226" s="36" t="s">
        <v>35</v>
      </c>
      <c r="D226" s="36" t="s">
        <v>27</v>
      </c>
      <c r="E226" s="28" t="s">
        <v>63</v>
      </c>
      <c r="F226" s="36" t="s">
        <v>29</v>
      </c>
      <c r="G226" s="28" t="s">
        <v>30</v>
      </c>
      <c r="H226" s="66" t="str">
        <f>HYPERLINK("https://innovativeincomeinvestor.com/security/senior-housing-properties-trust-6-25-senior-notes-due-2046/","DHCNL")</f>
        <v>DHCNL</v>
      </c>
      <c r="I226" s="47">
        <v>6.25E-2</v>
      </c>
      <c r="J226" s="65">
        <f ca="1">IFERROR(__xludf.DUMMYFUNCTION("GoogleFinance(H226)"),16.76)</f>
        <v>16.760000000000002</v>
      </c>
      <c r="K226" s="26">
        <f ca="1">IFERROR(__xludf.DUMMYFUNCTION("GOOGLEFINANCE(H226,""change"")"),-0.02)</f>
        <v>-0.02</v>
      </c>
      <c r="L226" s="27">
        <f t="shared" ca="1" si="126"/>
        <v>9.3078758949880658E-2</v>
      </c>
      <c r="M226" s="27">
        <f t="shared" ca="1" si="127"/>
        <v>0.32959999999999995</v>
      </c>
      <c r="N226" s="28" t="s">
        <v>31</v>
      </c>
      <c r="O226" s="28" t="s">
        <v>223</v>
      </c>
      <c r="P226" s="28" t="s">
        <v>225</v>
      </c>
      <c r="Q226" s="65">
        <v>0.39</v>
      </c>
      <c r="R226" s="64">
        <v>44245</v>
      </c>
      <c r="S226" s="64">
        <v>53359</v>
      </c>
      <c r="T226" s="62" t="s">
        <v>81</v>
      </c>
      <c r="U226" s="16">
        <f t="shared" ca="1" si="119"/>
        <v>-4.3917808219178083</v>
      </c>
      <c r="V226" s="11" t="str">
        <v>All</v>
      </c>
      <c r="X226">
        <f t="shared" ca="1" si="105"/>
        <v>0.50148215460940504</v>
      </c>
      <c r="Z226" s="17">
        <f t="shared" ca="1" si="106"/>
        <v>46213</v>
      </c>
      <c r="AG226" s="33">
        <f t="shared" ca="1" si="107"/>
        <v>0.28418566232809933</v>
      </c>
      <c r="AH226">
        <f t="shared" ca="1" si="108"/>
        <v>0.15942026223066147</v>
      </c>
      <c r="AI226">
        <f t="shared" ca="1" si="109"/>
        <v>0.13635345921480674</v>
      </c>
      <c r="AJ226">
        <f t="shared" ca="1" si="110"/>
        <v>0.11941900617945501</v>
      </c>
      <c r="AK226">
        <f t="shared" ca="1" si="111"/>
        <v>0.10105150222721127</v>
      </c>
    </row>
    <row r="227" spans="1:37" ht="17.25" customHeight="1">
      <c r="A227" s="68"/>
      <c r="B227" s="69" t="s">
        <v>226</v>
      </c>
      <c r="C227" s="28" t="s">
        <v>27</v>
      </c>
      <c r="D227" s="28" t="s">
        <v>27</v>
      </c>
      <c r="E227" s="28" t="s">
        <v>73</v>
      </c>
      <c r="F227" s="36" t="s">
        <v>29</v>
      </c>
      <c r="G227" s="28" t="s">
        <v>30</v>
      </c>
      <c r="H227" s="147" t="str">
        <f>HYPERLINK("https://innovativeincomeinvestor.com/security/dte-energy-company-series-e-5-25-junior-subordinated-debentures-due-2077/","DTW")</f>
        <v>DTW</v>
      </c>
      <c r="I227" s="47">
        <v>5.2499999999999998E-2</v>
      </c>
      <c r="J227" s="56">
        <f ca="1">IFERROR(__xludf.DUMMYFUNCTION("importxml(""https://bigcharts.marketwatch.com/quickchart/quickchart.asp?symb=DTW&amp;insttype=Stock"",""/html/body/div[1]/div[2]/table/tbody/tr/td[1]/table/tbody/tr[3]/td[1]/div"")"),21.22)</f>
        <v>21.22</v>
      </c>
      <c r="K227" s="48">
        <f ca="1">IFERROR(__xludf.DUMMYFUNCTION("googlefinance(H227,""change"")"),-0.14)</f>
        <v>-0.14000000000000001</v>
      </c>
      <c r="L227" s="27">
        <f t="shared" ca="1" si="126"/>
        <v>6.1852026390197927E-2</v>
      </c>
      <c r="M227" s="27">
        <f t="shared" ca="1" si="127"/>
        <v>0.15120000000000006</v>
      </c>
      <c r="N227" s="28" t="s">
        <v>39</v>
      </c>
      <c r="O227" s="28" t="s">
        <v>55</v>
      </c>
      <c r="P227" s="28" t="s">
        <v>64</v>
      </c>
      <c r="Q227" s="29">
        <f>(I227*25)/4</f>
        <v>0.328125</v>
      </c>
      <c r="R227" s="64">
        <v>44896</v>
      </c>
      <c r="S227" s="64">
        <v>64985</v>
      </c>
      <c r="T227" s="62" t="s">
        <v>81</v>
      </c>
      <c r="U227" s="16">
        <f t="shared" ca="1" si="119"/>
        <v>-2.6082191780821917</v>
      </c>
      <c r="V227" s="11" t="str">
        <v>All</v>
      </c>
      <c r="X227">
        <f t="shared" ca="1" si="105"/>
        <v>0.22560395481737805</v>
      </c>
      <c r="Z227" s="17">
        <f t="shared" ca="1" si="106"/>
        <v>46213</v>
      </c>
      <c r="AG227" s="33">
        <f t="shared" ca="1" si="107"/>
        <v>0.14053323428291656</v>
      </c>
      <c r="AH227">
        <f t="shared" ca="1" si="108"/>
        <v>9.0442244172522473E-2</v>
      </c>
      <c r="AI227">
        <f t="shared" ca="1" si="109"/>
        <v>8.1030652390907218E-2</v>
      </c>
      <c r="AJ227">
        <f t="shared" ca="1" si="110"/>
        <v>7.4043336727855597E-2</v>
      </c>
      <c r="AK227">
        <f t="shared" ca="1" si="111"/>
        <v>6.6195841949366716E-2</v>
      </c>
    </row>
    <row r="228" spans="1:37" ht="17.25" customHeight="1">
      <c r="A228" s="68"/>
      <c r="B228" s="69" t="s">
        <v>226</v>
      </c>
      <c r="C228" s="28" t="s">
        <v>27</v>
      </c>
      <c r="D228" s="28" t="s">
        <v>27</v>
      </c>
      <c r="E228" s="28" t="s">
        <v>73</v>
      </c>
      <c r="F228" s="36" t="s">
        <v>29</v>
      </c>
      <c r="G228" s="28" t="s">
        <v>30</v>
      </c>
      <c r="H228" s="55" t="str">
        <f>HYPERLINK("https://innovativeincomeinvestor.com/security/dte-energy-company-2020-series-g-4-375-junior-subordinated-debentures-due-2080/","DTB")</f>
        <v>DTB</v>
      </c>
      <c r="I228" s="47">
        <v>4.3749999999999997E-2</v>
      </c>
      <c r="J228" s="128">
        <f ca="1">IFERROR(__xludf.DUMMYFUNCTION("GOOGLEFINANCE(H228)"),17.28)</f>
        <v>17.28</v>
      </c>
      <c r="K228" s="48">
        <f ca="1">IFERROR(__xludf.DUMMYFUNCTION("googlefinance(H228,""change"")"),-0.06)</f>
        <v>-0.06</v>
      </c>
      <c r="L228" s="27">
        <f t="shared" ca="1" si="126"/>
        <v>6.25E-2</v>
      </c>
      <c r="M228" s="27">
        <f t="shared" ref="M228:M231" ca="1" si="128">L228*U228+(25-J228)/25/U228</f>
        <v>1.1785889704843948</v>
      </c>
      <c r="N228" s="28" t="s">
        <v>39</v>
      </c>
      <c r="O228" s="28" t="s">
        <v>55</v>
      </c>
      <c r="P228" s="28" t="s">
        <v>64</v>
      </c>
      <c r="Q228" s="29">
        <v>0.27</v>
      </c>
      <c r="R228" s="64">
        <v>45945</v>
      </c>
      <c r="S228" s="64">
        <v>66034</v>
      </c>
      <c r="T228" s="62" t="s">
        <v>60</v>
      </c>
      <c r="U228" s="16">
        <f t="shared" ca="1" si="119"/>
        <v>0.26575342465753427</v>
      </c>
      <c r="V228" s="11" t="str">
        <v>All</v>
      </c>
      <c r="X228">
        <f t="shared" ca="1" si="105"/>
        <v>0.44239703075661546</v>
      </c>
      <c r="Z228" s="17">
        <f t="shared" ca="1" si="106"/>
        <v>46213</v>
      </c>
      <c r="AG228" s="33">
        <f t="shared" ca="1" si="107"/>
        <v>0.24331440373000535</v>
      </c>
      <c r="AH228">
        <f t="shared" ca="1" si="108"/>
        <v>0.12843520826710145</v>
      </c>
      <c r="AI228">
        <f t="shared" ca="1" si="109"/>
        <v>0.10702834466073219</v>
      </c>
      <c r="AJ228">
        <f t="shared" ca="1" si="110"/>
        <v>9.1157322138951363E-2</v>
      </c>
      <c r="AK228">
        <f t="shared" ca="1" si="111"/>
        <v>7.3307241804726142E-2</v>
      </c>
    </row>
    <row r="229" spans="1:37" ht="17.25" customHeight="1">
      <c r="A229" s="19"/>
      <c r="B229" s="45" t="s">
        <v>226</v>
      </c>
      <c r="C229" s="28" t="s">
        <v>27</v>
      </c>
      <c r="D229" s="28" t="s">
        <v>27</v>
      </c>
      <c r="E229" s="36" t="s">
        <v>73</v>
      </c>
      <c r="F229" s="36" t="s">
        <v>29</v>
      </c>
      <c r="G229" s="36" t="s">
        <v>30</v>
      </c>
      <c r="H229" s="94" t="str">
        <f>HYPERLINK("https://innovativeincomeinvestor.com/security/dte-energy-company-2020-series-g-4-375-junior-subordinated-debentures-due-2081/","DTG")</f>
        <v>DTG</v>
      </c>
      <c r="I229" s="47">
        <v>4.3749999999999997E-2</v>
      </c>
      <c r="J229" s="26">
        <f ca="1">IFERROR(__xludf.DUMMYFUNCTION("GOOGLEFINANCE(H229)"),17.4)</f>
        <v>17.399999999999999</v>
      </c>
      <c r="K229" s="48">
        <f ca="1">IFERROR(__xludf.DUMMYFUNCTION("googlefinance(H229,""change"")"),-0.08)</f>
        <v>-0.08</v>
      </c>
      <c r="L229" s="27">
        <f t="shared" ca="1" si="126"/>
        <v>6.2068965517241385E-2</v>
      </c>
      <c r="M229" s="27">
        <f t="shared" ca="1" si="128"/>
        <v>0.3045525185304111</v>
      </c>
      <c r="N229" s="28" t="s">
        <v>39</v>
      </c>
      <c r="O229" s="28" t="s">
        <v>55</v>
      </c>
      <c r="P229" s="28" t="s">
        <v>64</v>
      </c>
      <c r="Q229" s="29">
        <v>0.27</v>
      </c>
      <c r="R229" s="64">
        <v>46357</v>
      </c>
      <c r="S229" s="64">
        <v>66446</v>
      </c>
      <c r="T229" s="62" t="s">
        <v>81</v>
      </c>
      <c r="U229" s="16">
        <f t="shared" ca="1" si="119"/>
        <v>1.3945205479452054</v>
      </c>
      <c r="V229" s="11" t="str">
        <v>All</v>
      </c>
      <c r="X229">
        <f t="shared" ca="1" si="105"/>
        <v>0.43456167334811541</v>
      </c>
      <c r="Z229" s="17">
        <f t="shared" ca="1" si="106"/>
        <v>46213</v>
      </c>
      <c r="AG229" s="33">
        <f t="shared" ca="1" si="107"/>
        <v>0.23946631743631733</v>
      </c>
      <c r="AH229">
        <f t="shared" ca="1" si="108"/>
        <v>0.12680872135684848</v>
      </c>
      <c r="AI229">
        <f t="shared" ca="1" si="109"/>
        <v>0.10580842950095713</v>
      </c>
      <c r="AJ229">
        <f t="shared" ca="1" si="110"/>
        <v>9.0236466952003005E-2</v>
      </c>
      <c r="AK229">
        <f t="shared" ca="1" si="111"/>
        <v>7.2716618421700727E-2</v>
      </c>
    </row>
    <row r="230" spans="1:37" ht="17.25" customHeight="1">
      <c r="A230" s="19"/>
      <c r="B230" s="45" t="s">
        <v>227</v>
      </c>
      <c r="C230" s="28" t="s">
        <v>27</v>
      </c>
      <c r="D230" s="28" t="s">
        <v>27</v>
      </c>
      <c r="E230" s="36" t="s">
        <v>73</v>
      </c>
      <c r="F230" s="36" t="s">
        <v>29</v>
      </c>
      <c r="G230" s="36" t="s">
        <v>30</v>
      </c>
      <c r="H230" s="63" t="str">
        <f>HYPERLINK("https://innovativeincomeinvestor.com/security/duke-energy-5-625-jr-subordinated-debentures-due-2078/","DUKB")</f>
        <v>DUKB</v>
      </c>
      <c r="I230" s="47">
        <v>5.6250000000000001E-2</v>
      </c>
      <c r="J230" s="56">
        <f ca="1">IFERROR(__xludf.DUMMYFUNCTION("importxml(""https://bigcharts.marketwatch.com/quickchart/quickchart.asp?symb=DUKB&amp;insttype=Stock"",""/html/body/div[1]/div[2]/table/tbody/tr/td[1]/table/tbody/tr[3]/td[1]/div"")"),23.84)</f>
        <v>23.84</v>
      </c>
      <c r="K230" s="65">
        <f ca="1">IFERROR(__xludf.DUMMYFUNCTION("googlefinance(H230,""change"")"),0.01)</f>
        <v>0.01</v>
      </c>
      <c r="L230" s="27">
        <f t="shared" ca="1" si="126"/>
        <v>5.8986996644295304E-2</v>
      </c>
      <c r="M230" s="27">
        <f t="shared" ca="1" si="128"/>
        <v>-0.13281387552600771</v>
      </c>
      <c r="N230" s="28" t="s">
        <v>39</v>
      </c>
      <c r="O230" s="28" t="s">
        <v>50</v>
      </c>
      <c r="P230" s="28" t="s">
        <v>76</v>
      </c>
      <c r="Q230" s="29">
        <f t="shared" ref="Q230:Q232" si="129">(I230*25)/4</f>
        <v>0.3515625</v>
      </c>
      <c r="R230" s="64">
        <v>45184</v>
      </c>
      <c r="S230" s="61">
        <v>65273</v>
      </c>
      <c r="T230" s="50" t="s">
        <v>228</v>
      </c>
      <c r="U230" s="16">
        <f t="shared" ca="1" si="119"/>
        <v>-1.8191780821917809</v>
      </c>
      <c r="V230" s="11" t="str">
        <v>All</v>
      </c>
      <c r="X230">
        <f t="shared" ca="1" si="105"/>
        <v>0.10575696138825216</v>
      </c>
      <c r="Z230" s="17">
        <f t="shared" ca="1" si="106"/>
        <v>46213</v>
      </c>
      <c r="AG230" s="33">
        <f t="shared" ca="1" si="107"/>
        <v>8.1630756389422299E-2</v>
      </c>
      <c r="AH230">
        <f t="shared" ca="1" si="108"/>
        <v>6.7259650921372552E-2</v>
      </c>
      <c r="AI230">
        <f t="shared" ca="1" si="109"/>
        <v>6.4545642220785557E-2</v>
      </c>
      <c r="AJ230">
        <f t="shared" ca="1" si="110"/>
        <v>6.2528075862833987E-2</v>
      </c>
      <c r="AK230">
        <f t="shared" ca="1" si="111"/>
        <v>6.0258684914919904E-2</v>
      </c>
    </row>
    <row r="231" spans="1:37" ht="17.25" customHeight="1">
      <c r="A231" s="19"/>
      <c r="B231" s="84" t="s">
        <v>227</v>
      </c>
      <c r="C231" s="28" t="s">
        <v>27</v>
      </c>
      <c r="D231" s="28" t="s">
        <v>27</v>
      </c>
      <c r="E231" s="36" t="s">
        <v>73</v>
      </c>
      <c r="F231" s="36" t="s">
        <v>29</v>
      </c>
      <c r="G231" s="28" t="s">
        <v>38</v>
      </c>
      <c r="H231" s="66" t="str">
        <f>HYPERLINK("https://innovativeincomeinvestor.com/security/duke-energy-corporation-5-75-series-a-cumulative-redeemable-perpetual-preferred-stock/","DUK-A")</f>
        <v>DUK-A</v>
      </c>
      <c r="I231" s="47">
        <v>5.7500000000000002E-2</v>
      </c>
      <c r="J231" s="25">
        <f ca="1">IFERROR(__xludf.DUMMYFUNCTION("GoogleFinance(H231)"),24.64)</f>
        <v>24.64</v>
      </c>
      <c r="K231" s="65">
        <f ca="1">IFERROR(__xludf.DUMMYFUNCTION("googlefinance(H231,""change"")"),0.03)</f>
        <v>0.03</v>
      </c>
      <c r="L231" s="27">
        <f t="shared" ca="1" si="126"/>
        <v>5.83400974025974E-2</v>
      </c>
      <c r="M231" s="27">
        <f t="shared" ca="1" si="128"/>
        <v>-7.5812917561890139E-2</v>
      </c>
      <c r="N231" s="28" t="s">
        <v>39</v>
      </c>
      <c r="O231" s="28" t="s">
        <v>55</v>
      </c>
      <c r="P231" s="28" t="s">
        <v>64</v>
      </c>
      <c r="Q231" s="29">
        <f t="shared" si="129"/>
        <v>0.359375</v>
      </c>
      <c r="R231" s="64">
        <v>45458</v>
      </c>
      <c r="S231" s="54" t="s">
        <v>41</v>
      </c>
      <c r="T231" s="50" t="s">
        <v>229</v>
      </c>
      <c r="U231" s="16">
        <f t="shared" ca="1" si="119"/>
        <v>-1.0684931506849316</v>
      </c>
      <c r="V231" s="11" t="str">
        <v>All</v>
      </c>
      <c r="X231">
        <f t="shared" ca="1" si="105"/>
        <v>7.2558899371141364E-2</v>
      </c>
      <c r="Z231" s="17">
        <f t="shared" ca="1" si="106"/>
        <v>46213</v>
      </c>
      <c r="AG231" s="33">
        <f t="shared" ca="1" si="107"/>
        <v>6.5238402030557585E-2</v>
      </c>
      <c r="AH231">
        <f t="shared" ca="1" si="108"/>
        <v>6.0863420529920699E-2</v>
      </c>
      <c r="AI231">
        <f t="shared" ca="1" si="109"/>
        <v>6.0035979643733903E-2</v>
      </c>
      <c r="AJ231">
        <f t="shared" ca="1" si="110"/>
        <v>5.9420792534233394E-2</v>
      </c>
      <c r="AK231">
        <f t="shared" ca="1" si="111"/>
        <v>5.8728471440420031E-2</v>
      </c>
    </row>
    <row r="232" spans="1:37" ht="17.25" customHeight="1">
      <c r="A232" s="19"/>
      <c r="B232" s="45" t="s">
        <v>230</v>
      </c>
      <c r="C232" s="36" t="s">
        <v>35</v>
      </c>
      <c r="D232" s="36" t="s">
        <v>27</v>
      </c>
      <c r="E232" s="36" t="s">
        <v>119</v>
      </c>
      <c r="F232" s="36" t="s">
        <v>29</v>
      </c>
      <c r="G232" s="28" t="s">
        <v>38</v>
      </c>
      <c r="H232" s="63" t="str">
        <f>HYPERLINK("https://innovativeincomeinvestor.com/security/dynagas-lng-partners-lp-9-00-series-a-cumulative-redeem-preferred-units/","DLNG-A")</f>
        <v>DLNG-A</v>
      </c>
      <c r="I232" s="47">
        <v>0.09</v>
      </c>
      <c r="J232" s="65">
        <f ca="1">IFERROR(__xludf.DUMMYFUNCTION("GoogleFinance(H232)"),25.5)</f>
        <v>25.5</v>
      </c>
      <c r="K232" s="48">
        <f ca="1">IFERROR(__xludf.DUMMYFUNCTION("googlefinance(H232,""change"")"),-0.08)</f>
        <v>-0.08</v>
      </c>
      <c r="L232" s="27">
        <f t="shared" ca="1" si="126"/>
        <v>8.8235294117647065E-2</v>
      </c>
      <c r="M232" s="27">
        <f ca="1">(25-J232)/25</f>
        <v>-0.02</v>
      </c>
      <c r="N232" s="28" t="s">
        <v>31</v>
      </c>
      <c r="O232" s="27" t="s">
        <v>32</v>
      </c>
      <c r="P232" s="27" t="s">
        <v>32</v>
      </c>
      <c r="Q232" s="29">
        <f t="shared" si="129"/>
        <v>0.5625</v>
      </c>
      <c r="R232" s="64">
        <v>44055</v>
      </c>
      <c r="S232" s="54" t="s">
        <v>41</v>
      </c>
      <c r="T232" s="50" t="s">
        <v>231</v>
      </c>
      <c r="U232" s="16">
        <f t="shared" ca="1" si="119"/>
        <v>-4.912328767123288</v>
      </c>
      <c r="V232" s="11" t="str">
        <v>All</v>
      </c>
      <c r="X232">
        <f t="shared" ca="1" si="105"/>
        <v>6.9128491465314856E-2</v>
      </c>
      <c r="Z232" s="17">
        <f t="shared" ca="1" si="106"/>
        <v>46213</v>
      </c>
      <c r="AG232" s="33">
        <f t="shared" ca="1" si="107"/>
        <v>7.9089922163516443E-2</v>
      </c>
      <c r="AH232">
        <f t="shared" ca="1" si="108"/>
        <v>8.5044857047177583E-2</v>
      </c>
      <c r="AI232">
        <f t="shared" ca="1" si="109"/>
        <v>8.616216127231198E-2</v>
      </c>
      <c r="AJ232">
        <f t="shared" ca="1" si="110"/>
        <v>8.6983413354995404E-2</v>
      </c>
      <c r="AK232">
        <f t="shared" ca="1" si="111"/>
        <v>8.7865885863682588E-2</v>
      </c>
    </row>
    <row r="233" spans="1:37" ht="17.25" customHeight="1">
      <c r="A233" s="19"/>
      <c r="B233" s="84" t="s">
        <v>230</v>
      </c>
      <c r="C233" s="36" t="s">
        <v>35</v>
      </c>
      <c r="D233" s="36" t="s">
        <v>27</v>
      </c>
      <c r="E233" s="36" t="s">
        <v>119</v>
      </c>
      <c r="F233" s="36" t="s">
        <v>46</v>
      </c>
      <c r="G233" s="36" t="s">
        <v>38</v>
      </c>
      <c r="H233" s="66" t="str">
        <f>HYPERLINK("https://innovativeincomeinvestor.com/security/dynagas-lng-partners-8-75-series-b-fixed-to-floating-rate-cumulative-redeemable-perpetual-preferred-units/","DLNG-B")</f>
        <v>DLNG-B</v>
      </c>
      <c r="I233" s="47">
        <v>8.7499999999999994E-2</v>
      </c>
      <c r="J233" s="65">
        <f ca="1">IFERROR(__xludf.DUMMYFUNCTION("GoogleFinance(H233)"),25.37)</f>
        <v>25.37</v>
      </c>
      <c r="K233" s="48">
        <f ca="1">IFERROR(__xludf.DUMMYFUNCTION("googlefinance(H233,""change"")"),0.02)</f>
        <v>0.02</v>
      </c>
      <c r="L233" s="52" t="s">
        <v>47</v>
      </c>
      <c r="M233" s="52" t="s">
        <v>47</v>
      </c>
      <c r="N233" s="28" t="s">
        <v>31</v>
      </c>
      <c r="O233" s="27" t="s">
        <v>32</v>
      </c>
      <c r="P233" s="27" t="s">
        <v>32</v>
      </c>
      <c r="Q233" s="52" t="s">
        <v>47</v>
      </c>
      <c r="R233" s="64">
        <v>45232</v>
      </c>
      <c r="S233" s="54" t="s">
        <v>41</v>
      </c>
      <c r="T233" s="50" t="s">
        <v>232</v>
      </c>
      <c r="U233" s="16">
        <f t="shared" ca="1" si="119"/>
        <v>-1.6876712328767123</v>
      </c>
      <c r="V233" s="11" t="str">
        <v>All</v>
      </c>
      <c r="X233">
        <f t="shared" ca="1" si="105"/>
        <v>7.2027798143134425E-2</v>
      </c>
      <c r="Z233" s="17">
        <f t="shared" ca="1" si="106"/>
        <v>46213</v>
      </c>
      <c r="AG233" s="33">
        <f t="shared" ca="1" si="107"/>
        <v>7.9423637755634019E-2</v>
      </c>
      <c r="AH233">
        <f t="shared" ca="1" si="108"/>
        <v>8.3843610297216417E-2</v>
      </c>
      <c r="AI233">
        <f t="shared" ca="1" si="109"/>
        <v>8.4673332281602343E-2</v>
      </c>
      <c r="AJ233">
        <f t="shared" ca="1" si="110"/>
        <v>8.5283919416782164E-2</v>
      </c>
      <c r="AK233">
        <f t="shared" ca="1" si="111"/>
        <v>8.594228669133569E-2</v>
      </c>
    </row>
    <row r="234" spans="1:37" ht="17.25" customHeight="1">
      <c r="A234" s="156"/>
      <c r="B234" s="157" t="s">
        <v>233</v>
      </c>
      <c r="C234" s="28" t="s">
        <v>35</v>
      </c>
      <c r="D234" s="28" t="s">
        <v>27</v>
      </c>
      <c r="E234" s="28" t="s">
        <v>44</v>
      </c>
      <c r="F234" s="36" t="s">
        <v>46</v>
      </c>
      <c r="G234" s="28" t="s">
        <v>38</v>
      </c>
      <c r="H234" s="46" t="str">
        <f>HYPERLINK("https://innovativeincomeinvestor.com/security/dynex-capital-inc-6-90-series-c-fixed-to-floating-rate-cuymulate-redeemable-preferred-stock/","DX-C")</f>
        <v>DX-C</v>
      </c>
      <c r="I234" s="47">
        <v>6.9000000000000006E-2</v>
      </c>
      <c r="J234" s="65">
        <f ca="1">IFERROR(__xludf.DUMMYFUNCTION("GoogleFinance(H234)"),25.23)</f>
        <v>25.23</v>
      </c>
      <c r="K234" s="67">
        <f ca="1">IFERROR(__xludf.DUMMYFUNCTION("googlefinance(H234,""change"")"),-0.02)</f>
        <v>-0.02</v>
      </c>
      <c r="L234" s="52" t="s">
        <v>47</v>
      </c>
      <c r="M234" s="27" t="e">
        <f t="shared" ref="M234:M238" ca="1" si="130">L234*U234+(25-J234)/25/U234</f>
        <v>#VALUE!</v>
      </c>
      <c r="N234" s="28" t="s">
        <v>31</v>
      </c>
      <c r="O234" s="27" t="s">
        <v>32</v>
      </c>
      <c r="P234" s="27" t="s">
        <v>32</v>
      </c>
      <c r="Q234" s="52" t="s">
        <v>47</v>
      </c>
      <c r="R234" s="64">
        <v>45762</v>
      </c>
      <c r="S234" s="54" t="s">
        <v>41</v>
      </c>
      <c r="T234" s="50" t="s">
        <v>60</v>
      </c>
      <c r="U234" s="16">
        <f t="shared" ca="1" si="119"/>
        <v>-0.23561643835616439</v>
      </c>
      <c r="V234" s="11" t="str">
        <v>All</v>
      </c>
      <c r="X234">
        <f t="shared" ca="1" si="105"/>
        <v>5.9455608346074079E-2</v>
      </c>
      <c r="Z234" s="17">
        <f t="shared" ca="1" si="106"/>
        <v>46213</v>
      </c>
      <c r="AG234" s="33">
        <f t="shared" ca="1" si="107"/>
        <v>6.4062333734731289E-2</v>
      </c>
      <c r="AH234">
        <f t="shared" ca="1" si="108"/>
        <v>6.6818971116289066E-2</v>
      </c>
      <c r="AI234">
        <f t="shared" ca="1" si="109"/>
        <v>6.7339279127438895E-2</v>
      </c>
      <c r="AJ234">
        <f t="shared" ca="1" si="110"/>
        <v>6.7725155260518116E-2</v>
      </c>
      <c r="AK234">
        <f t="shared" ca="1" si="111"/>
        <v>6.8153048963415647E-2</v>
      </c>
    </row>
    <row r="235" spans="1:37" ht="17.25" customHeight="1">
      <c r="A235" s="19"/>
      <c r="B235" s="45" t="s">
        <v>234</v>
      </c>
      <c r="C235" s="28" t="s">
        <v>27</v>
      </c>
      <c r="D235" s="28" t="s">
        <v>27</v>
      </c>
      <c r="E235" s="28" t="s">
        <v>176</v>
      </c>
      <c r="F235" s="36" t="s">
        <v>29</v>
      </c>
      <c r="G235" s="28" t="s">
        <v>30</v>
      </c>
      <c r="H235" s="83" t="str">
        <f>HYPERLINK("https://innovativeincomeinvestor.com/security/eagle-point-credit-company-inc-6-75-notes-due-2031/","ECCW")</f>
        <v>ECCW</v>
      </c>
      <c r="I235" s="47">
        <v>6.7500000000000004E-2</v>
      </c>
      <c r="J235" s="74">
        <f ca="1">IFERROR(__xludf.DUMMYFUNCTION("GoogleFinance(H235)"),23.62)</f>
        <v>23.62</v>
      </c>
      <c r="K235" s="102">
        <f ca="1">IFERROR(__xludf.DUMMYFUNCTION("googlefinance(H235,""change"")"),0.1)</f>
        <v>0.1</v>
      </c>
      <c r="L235" s="75">
        <f ca="1">(Q235*4)/J235</f>
        <v>7.1126164267569847E-2</v>
      </c>
      <c r="M235" s="27">
        <f t="shared" ca="1" si="130"/>
        <v>-0.13424866527654966</v>
      </c>
      <c r="N235" s="28" t="s">
        <v>31</v>
      </c>
      <c r="O235" s="27" t="s">
        <v>32</v>
      </c>
      <c r="P235" s="28" t="s">
        <v>32</v>
      </c>
      <c r="Q235" s="29">
        <v>0.42</v>
      </c>
      <c r="R235" s="64">
        <v>45380</v>
      </c>
      <c r="S235" s="82">
        <v>47938</v>
      </c>
      <c r="T235" s="62" t="s">
        <v>42</v>
      </c>
      <c r="U235" s="16">
        <f t="shared" ca="1" si="119"/>
        <v>-1.2821917808219179</v>
      </c>
      <c r="V235" s="11" t="str">
        <v>All</v>
      </c>
      <c r="X235">
        <f t="shared" ca="1" si="105"/>
        <v>0.12715548665734361</v>
      </c>
      <c r="Z235" s="17">
        <f t="shared" ca="1" si="106"/>
        <v>46213</v>
      </c>
      <c r="AG235" s="33">
        <f t="shared" ca="1" si="107"/>
        <v>9.8236529880762868E-2</v>
      </c>
      <c r="AH235">
        <f t="shared" ca="1" si="108"/>
        <v>8.104306974629949E-2</v>
      </c>
      <c r="AI235">
        <f t="shared" ca="1" si="109"/>
        <v>7.7807297289950519E-2</v>
      </c>
      <c r="AJ235">
        <f t="shared" ca="1" si="110"/>
        <v>7.5412515152708318E-2</v>
      </c>
      <c r="AK235">
        <f t="shared" ca="1" si="111"/>
        <v>7.2760840321663356E-2</v>
      </c>
    </row>
    <row r="236" spans="1:37" ht="17.25" customHeight="1">
      <c r="A236" s="19"/>
      <c r="B236" s="100" t="s">
        <v>234</v>
      </c>
      <c r="C236" s="71" t="s">
        <v>35</v>
      </c>
      <c r="D236" s="71" t="s">
        <v>27</v>
      </c>
      <c r="E236" s="71" t="s">
        <v>176</v>
      </c>
      <c r="F236" s="71" t="s">
        <v>29</v>
      </c>
      <c r="G236" s="71" t="s">
        <v>177</v>
      </c>
      <c r="H236" s="101" t="str">
        <f>HYPERLINK("https://innovativeincomeinvestor.com/security/eagle-point-credit-co-6-50-series-c-term-preferred-stock-due-2031/","ECCC")</f>
        <v>ECCC</v>
      </c>
      <c r="I236" s="73">
        <v>6.3750000000000001E-2</v>
      </c>
      <c r="J236" s="74">
        <f ca="1">IFERROR(__xludf.DUMMYFUNCTION("GoogleFinance(H236)"),23.34)</f>
        <v>23.34</v>
      </c>
      <c r="K236" s="102">
        <f ca="1">IFERROR(__xludf.DUMMYFUNCTION("googlefinance(H236,""change"")"),0.04)</f>
        <v>0.04</v>
      </c>
      <c r="L236" s="75">
        <f t="shared" ref="L236:L237" ca="1" si="131">(Q236*12)/J236</f>
        <v>6.6838046272493581E-2</v>
      </c>
      <c r="M236" s="75">
        <f t="shared" ca="1" si="130"/>
        <v>-0.13353621861464238</v>
      </c>
      <c r="N236" s="71" t="s">
        <v>31</v>
      </c>
      <c r="O236" s="75" t="s">
        <v>32</v>
      </c>
      <c r="P236" s="75" t="s">
        <v>32</v>
      </c>
      <c r="Q236" s="76">
        <v>0.13</v>
      </c>
      <c r="R236" s="77">
        <v>45459</v>
      </c>
      <c r="S236" s="158">
        <v>48029</v>
      </c>
      <c r="T236" s="78" t="s">
        <v>178</v>
      </c>
      <c r="U236" s="16">
        <f t="shared" ca="1" si="119"/>
        <v>-1.0657534246575342</v>
      </c>
      <c r="V236" s="11" t="str">
        <v>All</v>
      </c>
      <c r="X236">
        <f t="shared" ca="1" si="105"/>
        <v>0.13588332047418866</v>
      </c>
      <c r="Z236" s="17">
        <f t="shared" ca="1" si="106"/>
        <v>46213</v>
      </c>
      <c r="AG236" s="33">
        <f t="shared" ca="1" si="107"/>
        <v>0.10082511462482166</v>
      </c>
      <c r="AH236">
        <f t="shared" ca="1" si="108"/>
        <v>8.0000166703437847E-2</v>
      </c>
      <c r="AI236">
        <f t="shared" ca="1" si="109"/>
        <v>7.6079364727224791E-2</v>
      </c>
      <c r="AJ236">
        <f t="shared" ca="1" si="110"/>
        <v>7.3174114080625338E-2</v>
      </c>
      <c r="AK236">
        <f t="shared" ca="1" si="111"/>
        <v>6.994259842390517E-2</v>
      </c>
    </row>
    <row r="237" spans="1:37" ht="17.25" customHeight="1">
      <c r="A237" s="19"/>
      <c r="B237" s="100" t="s">
        <v>234</v>
      </c>
      <c r="C237" s="71" t="s">
        <v>35</v>
      </c>
      <c r="D237" s="71" t="s">
        <v>36</v>
      </c>
      <c r="E237" s="71" t="s">
        <v>176</v>
      </c>
      <c r="F237" s="71" t="s">
        <v>29</v>
      </c>
      <c r="G237" s="71" t="s">
        <v>38</v>
      </c>
      <c r="H237" s="72" t="str">
        <f>HYPERLINK("https://innovativeincomeinvestor.com/security/eagle-point-credit-company-inc-6-75-series-d-preferred-stock/","ECC-D")</f>
        <v>ECC-D</v>
      </c>
      <c r="I237" s="73">
        <v>6.7500000000000004E-2</v>
      </c>
      <c r="J237" s="74">
        <f ca="1">IFERROR(__xludf.DUMMYFUNCTION("GoogleFinance(H237)"),19.85)</f>
        <v>19.850000000000001</v>
      </c>
      <c r="K237" s="102">
        <f ca="1">IFERROR(__xludf.DUMMYFUNCTION("googlefinance(H237,""change"")"),-0.15)</f>
        <v>-0.15</v>
      </c>
      <c r="L237" s="75">
        <f t="shared" ca="1" si="131"/>
        <v>8.5012594458438284E-2</v>
      </c>
      <c r="M237" s="75">
        <f t="shared" ca="1" si="130"/>
        <v>0.2663897349055529</v>
      </c>
      <c r="N237" s="71" t="s">
        <v>31</v>
      </c>
      <c r="O237" s="75" t="s">
        <v>32</v>
      </c>
      <c r="P237" s="75" t="s">
        <v>32</v>
      </c>
      <c r="Q237" s="76">
        <f>(I237*25)/12</f>
        <v>0.140625</v>
      </c>
      <c r="R237" s="77">
        <v>46355</v>
      </c>
      <c r="S237" s="71" t="s">
        <v>41</v>
      </c>
      <c r="T237" s="78" t="s">
        <v>178</v>
      </c>
      <c r="U237" s="16">
        <f t="shared" ca="1" si="119"/>
        <v>1.3890410958904109</v>
      </c>
      <c r="V237" s="11" t="str">
        <v>All</v>
      </c>
      <c r="X237">
        <f t="shared" ca="1" si="105"/>
        <v>0.31568573812123796</v>
      </c>
      <c r="Z237" s="17">
        <f t="shared" ca="1" si="106"/>
        <v>46213</v>
      </c>
      <c r="AG237" s="33">
        <f t="shared" ca="1" si="107"/>
        <v>0.19425109878609395</v>
      </c>
      <c r="AH237">
        <f t="shared" ca="1" si="108"/>
        <v>0.12333540319496082</v>
      </c>
      <c r="AI237">
        <f t="shared" ca="1" si="109"/>
        <v>0.11011950502368174</v>
      </c>
      <c r="AJ237">
        <f t="shared" ca="1" si="110"/>
        <v>0.10038877500648827</v>
      </c>
      <c r="AK237">
        <f t="shared" ca="1" si="111"/>
        <v>8.9768162339125948E-2</v>
      </c>
    </row>
    <row r="238" spans="1:37" ht="17.25" customHeight="1">
      <c r="A238" s="19"/>
      <c r="B238" s="100" t="s">
        <v>234</v>
      </c>
      <c r="C238" s="71" t="s">
        <v>27</v>
      </c>
      <c r="D238" s="71" t="s">
        <v>27</v>
      </c>
      <c r="E238" s="71" t="s">
        <v>176</v>
      </c>
      <c r="F238" s="71" t="s">
        <v>29</v>
      </c>
      <c r="G238" s="71" t="s">
        <v>30</v>
      </c>
      <c r="H238" s="101" t="str">
        <f>HYPERLINK("https://innovativeincomeinvestor.com/security/eagle-point-credit-company-5-375-notes-due-2029/","ECCV")</f>
        <v>ECCV</v>
      </c>
      <c r="I238" s="73">
        <v>5.3749999999999999E-2</v>
      </c>
      <c r="J238" s="74">
        <f ca="1">IFERROR(__xludf.DUMMYFUNCTION("GoogleFinance(H238)"),23.26)</f>
        <v>23.26</v>
      </c>
      <c r="K238" s="102">
        <f ca="1">IFERROR(__xludf.DUMMYFUNCTION("googlefinance(H238,""change"")"),0.07)</f>
        <v>7.0000000000000007E-2</v>
      </c>
      <c r="L238" s="75">
        <f t="shared" ref="L238:L240" ca="1" si="132">(Q238*4)/J238</f>
        <v>5.8469475494411005E-2</v>
      </c>
      <c r="M238" s="75">
        <f t="shared" ca="1" si="130"/>
        <v>-0.18440545501124853</v>
      </c>
      <c r="N238" s="71" t="s">
        <v>31</v>
      </c>
      <c r="O238" s="75" t="s">
        <v>32</v>
      </c>
      <c r="P238" s="75" t="s">
        <v>32</v>
      </c>
      <c r="Q238" s="76">
        <v>0.34</v>
      </c>
      <c r="R238" s="77">
        <v>45688</v>
      </c>
      <c r="S238" s="158">
        <v>47149</v>
      </c>
      <c r="T238" s="78" t="s">
        <v>178</v>
      </c>
      <c r="U238" s="16">
        <f t="shared" ca="1" si="119"/>
        <v>-0.43835616438356162</v>
      </c>
      <c r="V238" s="11" t="str">
        <v>All</v>
      </c>
      <c r="X238">
        <f t="shared" ca="1" si="105"/>
        <v>0.12905290541126471</v>
      </c>
      <c r="Z238" s="17">
        <f t="shared" ca="1" si="106"/>
        <v>46213</v>
      </c>
      <c r="AG238" s="33">
        <f t="shared" ca="1" si="107"/>
        <v>9.2257931014957342E-2</v>
      </c>
      <c r="AH238">
        <f t="shared" ca="1" si="108"/>
        <v>7.0391317788063457E-2</v>
      </c>
      <c r="AI238">
        <f t="shared" ca="1" si="109"/>
        <v>6.6264583422880247E-2</v>
      </c>
      <c r="AJ238">
        <f t="shared" ca="1" si="110"/>
        <v>6.3195849346674382E-2</v>
      </c>
      <c r="AK238">
        <f t="shared" ca="1" si="111"/>
        <v>5.9738111058269976E-2</v>
      </c>
    </row>
    <row r="239" spans="1:37" ht="17.25" customHeight="1">
      <c r="A239" s="19"/>
      <c r="B239" s="45" t="s">
        <v>234</v>
      </c>
      <c r="C239" s="28" t="s">
        <v>27</v>
      </c>
      <c r="D239" s="28" t="s">
        <v>27</v>
      </c>
      <c r="E239" s="28" t="s">
        <v>176</v>
      </c>
      <c r="F239" s="36" t="s">
        <v>29</v>
      </c>
      <c r="G239" s="28" t="s">
        <v>30</v>
      </c>
      <c r="H239" s="55" t="str">
        <f>HYPERLINK("https://innovativeincomeinvestor.com/security/eagle-point-credit-company-6-6875-notes-due-2028/","ECCX")</f>
        <v>ECCX</v>
      </c>
      <c r="I239" s="47">
        <v>6.6875000000000004E-2</v>
      </c>
      <c r="J239" s="74">
        <f ca="1">IFERROR(__xludf.DUMMYFUNCTION("GoogleFinance(H239)"),24.45)</f>
        <v>24.45</v>
      </c>
      <c r="K239" s="102">
        <f ca="1">IFERROR(__xludf.DUMMYFUNCTION("googlefinance(H239,""change"")"),0)</f>
        <v>0</v>
      </c>
      <c r="L239" s="75">
        <f t="shared" ca="1" si="132"/>
        <v>6.8711656441717797E-2</v>
      </c>
      <c r="M239" s="27">
        <f ca="1">(25-J239)/25</f>
        <v>2.200000000000003E-2</v>
      </c>
      <c r="N239" s="28" t="s">
        <v>31</v>
      </c>
      <c r="O239" s="27" t="s">
        <v>32</v>
      </c>
      <c r="P239" s="27" t="s">
        <v>32</v>
      </c>
      <c r="Q239" s="76">
        <v>0.42</v>
      </c>
      <c r="R239" s="64">
        <v>44316</v>
      </c>
      <c r="S239" s="82">
        <v>46873</v>
      </c>
      <c r="T239" s="62" t="s">
        <v>42</v>
      </c>
      <c r="U239" s="16">
        <f t="shared" ca="1" si="119"/>
        <v>-4.1972602739726028</v>
      </c>
      <c r="V239" s="11" t="str">
        <v>All</v>
      </c>
      <c r="X239">
        <f t="shared" ca="1" si="105"/>
        <v>9.0128065515345746E-2</v>
      </c>
      <c r="Z239" s="17">
        <f t="shared" ca="1" si="106"/>
        <v>46213</v>
      </c>
      <c r="AG239" s="33">
        <f t="shared" ca="1" si="107"/>
        <v>7.8873283093344015E-2</v>
      </c>
      <c r="AH239">
        <f t="shared" ca="1" si="108"/>
        <v>7.2157552287862359E-2</v>
      </c>
      <c r="AI239">
        <f t="shared" ca="1" si="109"/>
        <v>7.0890986947512544E-2</v>
      </c>
      <c r="AJ239">
        <f t="shared" ca="1" si="110"/>
        <v>6.9952637967773318E-2</v>
      </c>
      <c r="AK239">
        <f t="shared" ca="1" si="111"/>
        <v>6.8909914813268219E-2</v>
      </c>
    </row>
    <row r="240" spans="1:37" ht="17.25" customHeight="1">
      <c r="A240" s="19"/>
      <c r="B240" s="159" t="s">
        <v>234</v>
      </c>
      <c r="C240" s="28" t="s">
        <v>27</v>
      </c>
      <c r="D240" s="28" t="s">
        <v>27</v>
      </c>
      <c r="E240" s="28" t="s">
        <v>176</v>
      </c>
      <c r="F240" s="36" t="s">
        <v>29</v>
      </c>
      <c r="G240" s="28" t="s">
        <v>30</v>
      </c>
      <c r="H240" s="51" t="str">
        <f>HYPERLINK("https://innovativeincomeinvestor.com/security/eagle-point-credit-company-inc-7-75-senior-notes-due-2030/","ECCU")</f>
        <v>ECCU</v>
      </c>
      <c r="I240" s="47">
        <v>6.6875000000000004E-2</v>
      </c>
      <c r="J240" s="74">
        <f ca="1">IFERROR(__xludf.DUMMYFUNCTION("GoogleFinance(H240)"),24.85)</f>
        <v>24.85</v>
      </c>
      <c r="K240" s="102">
        <f ca="1">IFERROR(__xludf.DUMMYFUNCTION("googlefinance(H240,""change"")"),0.03)</f>
        <v>0.03</v>
      </c>
      <c r="L240" s="75">
        <f t="shared" ca="1" si="132"/>
        <v>7.7907444668008044E-2</v>
      </c>
      <c r="M240" s="27">
        <f t="shared" ref="M240:M241" ca="1" si="133">L240*U240+(25-J240)/25/U240</f>
        <v>0.15672210546383319</v>
      </c>
      <c r="N240" s="28" t="s">
        <v>31</v>
      </c>
      <c r="O240" s="27" t="s">
        <v>32</v>
      </c>
      <c r="P240" s="27" t="s">
        <v>32</v>
      </c>
      <c r="Q240" s="76">
        <v>0.48399999999999999</v>
      </c>
      <c r="R240" s="64">
        <v>46568</v>
      </c>
      <c r="S240" s="82">
        <v>47664</v>
      </c>
      <c r="T240" s="62" t="s">
        <v>42</v>
      </c>
      <c r="U240" s="16">
        <f t="shared" ca="1" si="119"/>
        <v>1.9726027397260273</v>
      </c>
      <c r="V240" s="11" t="str">
        <v>All</v>
      </c>
      <c r="X240">
        <f t="shared" ca="1" si="105"/>
        <v>7.3151804744598661E-2</v>
      </c>
      <c r="Z240" s="17">
        <f t="shared" ca="1" si="106"/>
        <v>46213</v>
      </c>
      <c r="AG240" s="33">
        <f t="shared" ca="1" si="107"/>
        <v>7.0116438983651191E-2</v>
      </c>
      <c r="AH240">
        <f t="shared" ca="1" si="108"/>
        <v>6.8301962064452063E-2</v>
      </c>
      <c r="AI240">
        <f t="shared" ca="1" si="109"/>
        <v>6.7959373812304325E-2</v>
      </c>
      <c r="AJ240">
        <f t="shared" ca="1" si="110"/>
        <v>6.7705642994678836E-2</v>
      </c>
      <c r="AK240">
        <f t="shared" ca="1" si="111"/>
        <v>6.7423094376470871E-2</v>
      </c>
    </row>
    <row r="241" spans="1:37" ht="17.25" customHeight="1">
      <c r="A241" s="19"/>
      <c r="B241" s="160" t="s">
        <v>234</v>
      </c>
      <c r="C241" s="161" t="s">
        <v>35</v>
      </c>
      <c r="D241" s="161" t="s">
        <v>36</v>
      </c>
      <c r="E241" s="71" t="s">
        <v>176</v>
      </c>
      <c r="F241" s="161" t="s">
        <v>29</v>
      </c>
      <c r="G241" s="162" t="s">
        <v>177</v>
      </c>
      <c r="H241" s="163" t="str">
        <f>HYPERLINK("https://innovativeincomeinvestor.com/security/eagle-point-credit-compnay-inc-8-00-series-f-term-preferred-stock-due-2029/","ECCF")</f>
        <v>ECCF</v>
      </c>
      <c r="I241" s="73">
        <v>0.08</v>
      </c>
      <c r="J241" s="74">
        <f ca="1">IFERROR(__xludf.DUMMYFUNCTION("GoogleFinance(H241)"),25.12)</f>
        <v>25.12</v>
      </c>
      <c r="K241" s="102">
        <f ca="1">IFERROR(__xludf.DUMMYFUNCTION("googlefinance(H241,""change"")"),0.07)</f>
        <v>7.0000000000000007E-2</v>
      </c>
      <c r="L241" s="75">
        <f t="shared" ref="L241:L244" ca="1" si="134">(Q241*12)/J241</f>
        <v>7.9538216560509564E-2</v>
      </c>
      <c r="M241" s="75">
        <f t="shared" ca="1" si="133"/>
        <v>3.2714281040048789E-2</v>
      </c>
      <c r="N241" s="71" t="s">
        <v>31</v>
      </c>
      <c r="O241" s="75" t="s">
        <v>32</v>
      </c>
      <c r="P241" s="75" t="s">
        <v>32</v>
      </c>
      <c r="Q241" s="76">
        <v>0.16650000000000001</v>
      </c>
      <c r="R241" s="77">
        <v>46040</v>
      </c>
      <c r="S241" s="158">
        <v>47149</v>
      </c>
      <c r="T241" s="78" t="s">
        <v>178</v>
      </c>
      <c r="U241" s="16">
        <f t="shared" ca="1" si="119"/>
        <v>0.52602739726027392</v>
      </c>
      <c r="V241" s="11" t="str">
        <v>All</v>
      </c>
      <c r="X241">
        <f t="shared" ca="1" si="105"/>
        <v>7.4972992879866501E-2</v>
      </c>
      <c r="Z241" s="17">
        <f t="shared" ca="1" si="106"/>
        <v>46213</v>
      </c>
      <c r="AG241" s="33">
        <f t="shared" ca="1" si="107"/>
        <v>7.7386387586174971E-2</v>
      </c>
      <c r="AH241">
        <f t="shared" ca="1" si="108"/>
        <v>7.8828054599242359E-2</v>
      </c>
      <c r="AI241">
        <f t="shared" ca="1" si="109"/>
        <v>7.9099096845561656E-2</v>
      </c>
      <c r="AJ241">
        <f t="shared" ca="1" si="110"/>
        <v>7.9299407680401349E-2</v>
      </c>
      <c r="AK241">
        <f t="shared" ca="1" si="111"/>
        <v>7.9517476839841783E-2</v>
      </c>
    </row>
    <row r="242" spans="1:37" ht="17.25" customHeight="1">
      <c r="A242" s="19"/>
      <c r="B242" s="164" t="s">
        <v>235</v>
      </c>
      <c r="C242" s="165" t="s">
        <v>35</v>
      </c>
      <c r="D242" s="165" t="s">
        <v>36</v>
      </c>
      <c r="E242" s="71" t="s">
        <v>176</v>
      </c>
      <c r="F242" s="165" t="s">
        <v>29</v>
      </c>
      <c r="G242" s="165" t="s">
        <v>177</v>
      </c>
      <c r="H242" s="72" t="str">
        <f>HYPERLINK("https://innovativeincomeinvestor.com/security/eagle-point-income-company-inc-5-00/","EICA")</f>
        <v>EICA</v>
      </c>
      <c r="I242" s="73">
        <v>0.05</v>
      </c>
      <c r="J242" s="102">
        <f ca="1">IFERROR(__xludf.DUMMYFUNCTION("GOOGLEFINANCE(H242)"),24.45)</f>
        <v>24.45</v>
      </c>
      <c r="K242" s="102">
        <f ca="1">IFERROR(__xludf.DUMMYFUNCTION("googlefinance(H242,""change"")"),0.01)</f>
        <v>0.01</v>
      </c>
      <c r="L242" s="75">
        <f t="shared" ca="1" si="134"/>
        <v>4.9079754601227002E-2</v>
      </c>
      <c r="M242" s="75">
        <f ca="1">(25-J242)/25</f>
        <v>2.200000000000003E-2</v>
      </c>
      <c r="N242" s="71" t="s">
        <v>31</v>
      </c>
      <c r="O242" s="75" t="s">
        <v>32</v>
      </c>
      <c r="P242" s="75" t="s">
        <v>32</v>
      </c>
      <c r="Q242" s="76">
        <v>0.1</v>
      </c>
      <c r="R242" s="77">
        <v>45230</v>
      </c>
      <c r="S242" s="158">
        <v>46325</v>
      </c>
      <c r="T242" s="78" t="s">
        <v>178</v>
      </c>
      <c r="U242" s="16">
        <f t="shared" ca="1" si="119"/>
        <v>-1.6931506849315068</v>
      </c>
      <c r="V242" s="11" t="str">
        <v>All</v>
      </c>
      <c r="X242">
        <f t="shared" ca="1" si="105"/>
        <v>7.3013007881216202E-2</v>
      </c>
      <c r="Z242" s="17">
        <f t="shared" ca="1" si="106"/>
        <v>46213</v>
      </c>
      <c r="AG242" s="33">
        <f t="shared" ca="1" si="107"/>
        <v>6.17781714328881E-2</v>
      </c>
      <c r="AH242">
        <f t="shared" ca="1" si="108"/>
        <v>5.5065743462974256E-2</v>
      </c>
      <c r="AI242">
        <f t="shared" ca="1" si="109"/>
        <v>5.3794661378007126E-2</v>
      </c>
      <c r="AJ242">
        <f t="shared" ca="1" si="110"/>
        <v>5.2847430659112446E-2</v>
      </c>
      <c r="AK242">
        <f t="shared" ca="1" si="111"/>
        <v>5.1772943317186591E-2</v>
      </c>
    </row>
    <row r="243" spans="1:37" ht="17.25" customHeight="1">
      <c r="A243" s="19"/>
      <c r="B243" s="100" t="s">
        <v>235</v>
      </c>
      <c r="C243" s="71" t="s">
        <v>35</v>
      </c>
      <c r="D243" s="71" t="s">
        <v>36</v>
      </c>
      <c r="E243" s="71" t="s">
        <v>176</v>
      </c>
      <c r="F243" s="71" t="s">
        <v>29</v>
      </c>
      <c r="G243" s="71" t="s">
        <v>177</v>
      </c>
      <c r="H243" s="72" t="str">
        <f>HYPERLINK("https://innovativeincomeinvestor.com/security/eagle-point-income-company-inc-7-75-series-b-term-preferred-stock-due-2028/","EICB")</f>
        <v>EICB</v>
      </c>
      <c r="I243" s="73">
        <v>7.7499999999999999E-2</v>
      </c>
      <c r="J243" s="166">
        <f ca="1">IFERROR(__xludf.DUMMYFUNCTION("importxml(""https://bigcharts.marketwatch.com/quickchart/quickchart.asp?symb=EICB&amp;insttype=Stock"",""/html/body/div[1]/div[2]/table/tbody/tr/td[1]/table/tbody/tr[3]/td[1]/div"")"),25.06)</f>
        <v>25.06</v>
      </c>
      <c r="K243" s="102">
        <f ca="1">IFERROR(__xludf.DUMMYFUNCTION("googlefinance(H243,""change"")"),0.02)</f>
        <v>0.02</v>
      </c>
      <c r="L243" s="75">
        <f t="shared" ca="1" si="134"/>
        <v>7.7314445331205114E-2</v>
      </c>
      <c r="M243" s="75">
        <f t="shared" ref="M243:M246" ca="1" si="135">L243*U243+(25-J243)/25/U243</f>
        <v>-3.7266057352763442E-2</v>
      </c>
      <c r="N243" s="71" t="s">
        <v>31</v>
      </c>
      <c r="O243" s="75" t="s">
        <v>32</v>
      </c>
      <c r="P243" s="75" t="s">
        <v>32</v>
      </c>
      <c r="Q243" s="76">
        <f>(I243*25)/12</f>
        <v>0.16145833333333334</v>
      </c>
      <c r="R243" s="77">
        <v>45869</v>
      </c>
      <c r="S243" s="158">
        <v>46965</v>
      </c>
      <c r="T243" s="78" t="s">
        <v>178</v>
      </c>
      <c r="U243" s="16">
        <f t="shared" ca="1" si="119"/>
        <v>5.7534246575342465E-2</v>
      </c>
      <c r="V243" s="11" t="str">
        <v>All</v>
      </c>
      <c r="X243">
        <f t="shared" ca="1" si="105"/>
        <v>7.4986475841700151E-2</v>
      </c>
      <c r="Z243" s="17">
        <f t="shared" ca="1" si="106"/>
        <v>46213</v>
      </c>
      <c r="AG243" s="33">
        <f t="shared" ca="1" si="107"/>
        <v>7.6194873225388038E-2</v>
      </c>
      <c r="AH243">
        <f t="shared" ca="1" si="108"/>
        <v>7.6916496890908556E-2</v>
      </c>
      <c r="AI243">
        <f t="shared" ca="1" si="109"/>
        <v>7.7052180228161488E-2</v>
      </c>
      <c r="AJ243">
        <f t="shared" ca="1" si="110"/>
        <v>7.7152723511451873E-2</v>
      </c>
      <c r="AK243">
        <f t="shared" ca="1" si="111"/>
        <v>7.7262328520518869E-2</v>
      </c>
    </row>
    <row r="244" spans="1:37" ht="17.25" customHeight="1">
      <c r="A244" s="19"/>
      <c r="B244" s="100" t="s">
        <v>236</v>
      </c>
      <c r="C244" s="71" t="s">
        <v>35</v>
      </c>
      <c r="D244" s="71" t="s">
        <v>36</v>
      </c>
      <c r="E244" s="71" t="s">
        <v>176</v>
      </c>
      <c r="F244" s="71" t="s">
        <v>29</v>
      </c>
      <c r="G244" s="71" t="s">
        <v>177</v>
      </c>
      <c r="H244" s="167" t="str">
        <f>HYPERLINK("https://innovativeincomeinvestor.com/wp-admin/post.php?post=26692&amp;action=edit&amp;message=1","EIIA")</f>
        <v>EIIA</v>
      </c>
      <c r="I244" s="73">
        <v>8.1250000000000003E-2</v>
      </c>
      <c r="J244" s="168">
        <f ca="1">IFERROR(__xludf.DUMMYFUNCTION("GoogleFinance(H244)"),25.08)</f>
        <v>25.08</v>
      </c>
      <c r="K244" s="102">
        <f ca="1">IFERROR(__xludf.DUMMYFUNCTION("googlefinance(H244,""change"")"),0)</f>
        <v>0</v>
      </c>
      <c r="L244" s="75">
        <f t="shared" ca="1" si="134"/>
        <v>8.0956937799043061E-2</v>
      </c>
      <c r="M244" s="75">
        <f t="shared" ca="1" si="135"/>
        <v>0.10357680389795702</v>
      </c>
      <c r="N244" s="71" t="s">
        <v>31</v>
      </c>
      <c r="O244" s="71" t="s">
        <v>32</v>
      </c>
      <c r="P244" s="71" t="s">
        <v>32</v>
      </c>
      <c r="Q244" s="76">
        <v>0.16919999999999999</v>
      </c>
      <c r="R244" s="77">
        <v>46326</v>
      </c>
      <c r="S244" s="158">
        <v>47422</v>
      </c>
      <c r="T244" s="78" t="s">
        <v>178</v>
      </c>
      <c r="U244" s="16">
        <f t="shared" ca="1" si="119"/>
        <v>1.3095890410958904</v>
      </c>
      <c r="V244" s="11" t="str">
        <v>All</v>
      </c>
      <c r="X244">
        <f t="shared" ca="1" si="105"/>
        <v>7.7892712494307806E-2</v>
      </c>
      <c r="Z244" s="17">
        <f t="shared" ca="1" si="106"/>
        <v>46213</v>
      </c>
      <c r="AG244" s="33">
        <f t="shared" ca="1" si="107"/>
        <v>7.9503608997139485E-2</v>
      </c>
      <c r="AH244">
        <f t="shared" ca="1" si="108"/>
        <v>8.0465417343171391E-2</v>
      </c>
      <c r="AI244">
        <f t="shared" ca="1" si="109"/>
        <v>8.0646087961126892E-2</v>
      </c>
      <c r="AJ244">
        <f t="shared" ca="1" si="110"/>
        <v>8.0779669492231435E-2</v>
      </c>
      <c r="AK244">
        <f t="shared" ca="1" si="111"/>
        <v>8.0924554262427187E-2</v>
      </c>
    </row>
    <row r="245" spans="1:37" ht="17.25" customHeight="1">
      <c r="A245" s="19"/>
      <c r="B245" s="45" t="s">
        <v>237</v>
      </c>
      <c r="C245" s="28" t="s">
        <v>35</v>
      </c>
      <c r="D245" s="28" t="s">
        <v>27</v>
      </c>
      <c r="E245" s="28" t="s">
        <v>44</v>
      </c>
      <c r="F245" s="36" t="s">
        <v>46</v>
      </c>
      <c r="G245" s="28" t="s">
        <v>38</v>
      </c>
      <c r="H245" s="23" t="str">
        <f>HYPERLINK("https://innovativeincomeinvestor.com/security/ellington-financial-inc-6-75-series-a-fixed-to-floating-rate-cumulative-redeemable-preferred-stock/","EFC-A")</f>
        <v>EFC-A</v>
      </c>
      <c r="I245" s="47">
        <v>6.7500000000000004E-2</v>
      </c>
      <c r="J245" s="128">
        <f ca="1">IFERROR(__xludf.DUMMYFUNCTION("GOOGLEFINANCE(H245)"),24.93)</f>
        <v>24.93</v>
      </c>
      <c r="K245" s="26">
        <f ca="1">IFERROR(__xludf.DUMMYFUNCTION("GOOGLEFINANCE(H245,""change"")"),0.02)</f>
        <v>0.02</v>
      </c>
      <c r="L245" s="27">
        <f t="shared" ref="L245:L246" ca="1" si="136">(Q245*4)/J245</f>
        <v>6.7689530685920582E-2</v>
      </c>
      <c r="M245" s="27">
        <f t="shared" ca="1" si="135"/>
        <v>-5.0958570249337726E-2</v>
      </c>
      <c r="N245" s="28" t="s">
        <v>31</v>
      </c>
      <c r="O245" s="28" t="s">
        <v>32</v>
      </c>
      <c r="P245" s="28" t="s">
        <v>32</v>
      </c>
      <c r="Q245" s="29">
        <f>(I245*25)/4</f>
        <v>0.421875</v>
      </c>
      <c r="R245" s="64">
        <v>45595</v>
      </c>
      <c r="S245" s="28" t="s">
        <v>41</v>
      </c>
      <c r="T245" s="62" t="s">
        <v>45</v>
      </c>
      <c r="U245" s="16">
        <f t="shared" ca="1" si="119"/>
        <v>-0.69315068493150689</v>
      </c>
      <c r="V245" s="11" t="str">
        <v>All</v>
      </c>
      <c r="X245">
        <f t="shared" ca="1" si="105"/>
        <v>7.0424317932838085E-2</v>
      </c>
      <c r="Z245" s="17">
        <f t="shared" ca="1" si="106"/>
        <v>46213</v>
      </c>
      <c r="AG245" s="33">
        <f t="shared" ca="1" si="107"/>
        <v>6.9010860532776386E-2</v>
      </c>
      <c r="AH245">
        <f t="shared" ca="1" si="108"/>
        <v>6.8165494360459114E-2</v>
      </c>
      <c r="AI245">
        <f t="shared" ca="1" si="109"/>
        <v>6.8005818577149615E-2</v>
      </c>
      <c r="AJ245">
        <f t="shared" ca="1" si="110"/>
        <v>6.7887720631505166E-2</v>
      </c>
      <c r="AK245">
        <f t="shared" ca="1" si="111"/>
        <v>6.7756076961201644E-2</v>
      </c>
    </row>
    <row r="246" spans="1:37" ht="17.25" customHeight="1">
      <c r="A246" s="19"/>
      <c r="B246" s="45" t="s">
        <v>237</v>
      </c>
      <c r="C246" s="28" t="s">
        <v>35</v>
      </c>
      <c r="D246" s="28" t="s">
        <v>27</v>
      </c>
      <c r="E246" s="28" t="s">
        <v>44</v>
      </c>
      <c r="F246" s="36" t="s">
        <v>61</v>
      </c>
      <c r="G246" s="28" t="s">
        <v>38</v>
      </c>
      <c r="H246" s="23" t="str">
        <f>HYPERLINK("https://innovativeincomeinvestor.com/security/ellington-financial-inc-6-25series-b-fixed-rate-reset-cumulative-redeemable-preferred-stock/","EFC-B")</f>
        <v>EFC-B</v>
      </c>
      <c r="I246" s="47">
        <v>6.25E-2</v>
      </c>
      <c r="J246" s="26">
        <f ca="1">IFERROR(__xludf.DUMMYFUNCTION("GOOGLEFINANCE(H246)"),22.63)</f>
        <v>22.63</v>
      </c>
      <c r="K246" s="26">
        <f ca="1">IFERROR(__xludf.DUMMYFUNCTION("GOOGLEFINANCE(H246,""change"")"),-0.13)</f>
        <v>-0.13</v>
      </c>
      <c r="L246" s="27">
        <f t="shared" ca="1" si="136"/>
        <v>6.8935041979673012E-2</v>
      </c>
      <c r="M246" s="27">
        <f t="shared" ca="1" si="135"/>
        <v>0.16827507102766651</v>
      </c>
      <c r="N246" s="28" t="s">
        <v>31</v>
      </c>
      <c r="O246" s="28" t="s">
        <v>32</v>
      </c>
      <c r="P246" s="28" t="s">
        <v>32</v>
      </c>
      <c r="Q246" s="29">
        <v>0.39</v>
      </c>
      <c r="R246" s="64">
        <v>46417</v>
      </c>
      <c r="S246" s="54" t="s">
        <v>41</v>
      </c>
      <c r="T246" s="62" t="s">
        <v>45</v>
      </c>
      <c r="U246" s="16">
        <f t="shared" ca="1" si="119"/>
        <v>1.558904109589041</v>
      </c>
      <c r="V246" s="11" t="str">
        <v>All</v>
      </c>
      <c r="X246">
        <f t="shared" ca="1" si="105"/>
        <v>0.16742309531756186</v>
      </c>
      <c r="Z246" s="17">
        <f t="shared" ca="1" si="106"/>
        <v>46213</v>
      </c>
      <c r="AG246" s="33">
        <f t="shared" ca="1" si="107"/>
        <v>0.11630941509664379</v>
      </c>
      <c r="AH246">
        <f t="shared" ca="1" si="108"/>
        <v>8.6039970093115176E-2</v>
      </c>
      <c r="AI246">
        <f t="shared" ca="1" si="109"/>
        <v>8.0348560262281057E-2</v>
      </c>
      <c r="AJ246">
        <f t="shared" ca="1" si="110"/>
        <v>7.6132585802427641E-2</v>
      </c>
      <c r="AK246">
        <f t="shared" ca="1" si="111"/>
        <v>7.1444680697678481E-2</v>
      </c>
    </row>
    <row r="247" spans="1:37" ht="17.25" customHeight="1">
      <c r="A247" s="19"/>
      <c r="B247" s="45" t="s">
        <v>238</v>
      </c>
      <c r="C247" s="28" t="s">
        <v>35</v>
      </c>
      <c r="D247" s="28" t="s">
        <v>27</v>
      </c>
      <c r="E247" s="28" t="s">
        <v>44</v>
      </c>
      <c r="F247" s="36" t="s">
        <v>29</v>
      </c>
      <c r="G247" s="28" t="s">
        <v>38</v>
      </c>
      <c r="H247" s="51" t="str">
        <f>HYPERLINK("https://innovativeincomeinvestor.com/security/arlington-asset-investment-7-series-b-cumulative-perpetual-redeemable-preferred-stock/","EFC-D")</f>
        <v>EFC-D</v>
      </c>
      <c r="I247" s="47">
        <v>7.0000000000000007E-2</v>
      </c>
      <c r="J247" s="56">
        <f ca="1">IFERROR(__xludf.DUMMYFUNCTION("importxml(""https://bigcharts.marketwatch.com/quickchart/quickchart.asp?symb=EFCPRD&amp;insttype=Stock"",""/html/body/div[1]/div[2]/table/tbody/tr/td[1]/table/tbody/tr[3]/td[1]/div"")"),23.2676)</f>
        <v>23.267600000000002</v>
      </c>
      <c r="K247" s="128">
        <f ca="1">IFERROR(__xludf.DUMMYFUNCTION("GOOGLEFINANCE(H247,""change"")"),-0.07)</f>
        <v>-7.0000000000000007E-2</v>
      </c>
      <c r="L247" s="108">
        <f ca="1">Q247*4/J247</f>
        <v>7.5211882617889261E-2</v>
      </c>
      <c r="M247" s="108">
        <f ca="1">(25-J247)/25</f>
        <v>6.9295999999999941E-2</v>
      </c>
      <c r="N247" s="28" t="s">
        <v>31</v>
      </c>
      <c r="O247" s="28" t="s">
        <v>32</v>
      </c>
      <c r="P247" s="28" t="s">
        <v>32</v>
      </c>
      <c r="Q247" s="29">
        <f>(I247*25)/4</f>
        <v>0.43750000000000006</v>
      </c>
      <c r="R247" s="64">
        <v>44693</v>
      </c>
      <c r="S247" s="28" t="s">
        <v>41</v>
      </c>
      <c r="T247" s="62" t="s">
        <v>56</v>
      </c>
      <c r="U247" s="16">
        <f t="shared" ca="1" si="119"/>
        <v>-3.1643835616438358</v>
      </c>
      <c r="V247" s="11" t="str">
        <v>All</v>
      </c>
      <c r="X247">
        <f t="shared" ca="1" si="105"/>
        <v>0.14572000534714621</v>
      </c>
      <c r="Z247" s="17">
        <f t="shared" ca="1" si="106"/>
        <v>46213</v>
      </c>
      <c r="AG247" s="33">
        <f t="shared" ca="1" si="107"/>
        <v>0.10903116304143644</v>
      </c>
      <c r="AH247">
        <f t="shared" ca="1" si="108"/>
        <v>8.7257055867899697E-2</v>
      </c>
      <c r="AI247">
        <f t="shared" ca="1" si="109"/>
        <v>8.3165698551919215E-2</v>
      </c>
      <c r="AJ247">
        <f t="shared" ca="1" si="110"/>
        <v>8.01421258870465E-2</v>
      </c>
      <c r="AK247">
        <f t="shared" ca="1" si="111"/>
        <v>7.6810703040475201E-2</v>
      </c>
    </row>
    <row r="248" spans="1:37" ht="17.25" customHeight="1">
      <c r="A248" s="19"/>
      <c r="B248" s="45" t="s">
        <v>238</v>
      </c>
      <c r="C248" s="28" t="s">
        <v>35</v>
      </c>
      <c r="D248" s="28" t="s">
        <v>27</v>
      </c>
      <c r="E248" s="28" t="s">
        <v>44</v>
      </c>
      <c r="F248" s="28" t="s">
        <v>46</v>
      </c>
      <c r="G248" s="28" t="s">
        <v>38</v>
      </c>
      <c r="H248" s="66" t="str">
        <f>HYPERLINK("https://innovativeincomeinvestor.com/security/arlington-asset-investment-corp-8-25-series-c-fixed-to-floating-rate-cumulative-redeemable-preferred-stock/","EFC-E")</f>
        <v>EFC-E</v>
      </c>
      <c r="I248" s="47">
        <v>8.2500000000000004E-2</v>
      </c>
      <c r="J248" s="79" t="s">
        <v>68</v>
      </c>
      <c r="K248" s="169" t="s">
        <v>68</v>
      </c>
      <c r="L248" s="88" t="s">
        <v>68</v>
      </c>
      <c r="M248" s="88" t="s">
        <v>68</v>
      </c>
      <c r="N248" s="28" t="s">
        <v>31</v>
      </c>
      <c r="O248" s="28" t="s">
        <v>32</v>
      </c>
      <c r="P248" s="28" t="s">
        <v>32</v>
      </c>
      <c r="Q248" s="52" t="s">
        <v>47</v>
      </c>
      <c r="R248" s="64">
        <v>45381</v>
      </c>
      <c r="S248" s="28" t="s">
        <v>41</v>
      </c>
      <c r="T248" s="62" t="s">
        <v>56</v>
      </c>
      <c r="U248" s="16">
        <f t="shared" ca="1" si="119"/>
        <v>-1.2794520547945205</v>
      </c>
      <c r="V248" s="11" t="str">
        <v>All</v>
      </c>
      <c r="X248" t="e">
        <f t="shared" ca="1" si="105"/>
        <v>#VALUE!</v>
      </c>
      <c r="Z248" s="17">
        <f t="shared" ca="1" si="106"/>
        <v>46213</v>
      </c>
      <c r="AG248" s="33" t="e">
        <f t="shared" ca="1" si="107"/>
        <v>#VALUE!</v>
      </c>
      <c r="AH248" t="e">
        <f t="shared" ca="1" si="108"/>
        <v>#VALUE!</v>
      </c>
      <c r="AI248" t="e">
        <f t="shared" ca="1" si="109"/>
        <v>#VALUE!</v>
      </c>
      <c r="AJ248" t="e">
        <f t="shared" ca="1" si="110"/>
        <v>#VALUE!</v>
      </c>
      <c r="AK248" t="e">
        <f t="shared" ca="1" si="111"/>
        <v>#VALUE!</v>
      </c>
    </row>
    <row r="249" spans="1:37" ht="17.25" customHeight="1">
      <c r="A249" s="19"/>
      <c r="B249" s="45" t="s">
        <v>239</v>
      </c>
      <c r="C249" s="28" t="s">
        <v>35</v>
      </c>
      <c r="D249" s="28" t="s">
        <v>36</v>
      </c>
      <c r="E249" s="28" t="s">
        <v>37</v>
      </c>
      <c r="F249" s="36" t="s">
        <v>29</v>
      </c>
      <c r="G249" s="28" t="s">
        <v>38</v>
      </c>
      <c r="H249" s="51" t="str">
        <f>HYPERLINK("https://innovativeincomeinvestor.com/security/ellsworth-growth-and-income-fund-5-25-series-a-cumulative-preferred-shares/","ECF-A")</f>
        <v>ECF-A</v>
      </c>
      <c r="I249" s="47">
        <v>5.2499999999999998E-2</v>
      </c>
      <c r="J249" s="65">
        <f ca="1">IFERROR(__xludf.DUMMYFUNCTION("GoogleFinance(H249)"),21.7)</f>
        <v>21.7</v>
      </c>
      <c r="K249" s="67">
        <f ca="1">IFERROR(__xludf.DUMMYFUNCTION("googlefinance(H249,""change"")"),0)</f>
        <v>0</v>
      </c>
      <c r="L249" s="27">
        <f ca="1">(Q249*4)/J249</f>
        <v>6.0483870967741937E-2</v>
      </c>
      <c r="M249" s="27">
        <f ca="1">(25-J249)/25</f>
        <v>0.13200000000000003</v>
      </c>
      <c r="N249" s="28" t="s">
        <v>39</v>
      </c>
      <c r="O249" s="28" t="s">
        <v>32</v>
      </c>
      <c r="P249" s="28" t="s">
        <v>129</v>
      </c>
      <c r="Q249" s="29">
        <f>(I249*25)/4</f>
        <v>0.328125</v>
      </c>
      <c r="R249" s="64">
        <v>44822</v>
      </c>
      <c r="S249" s="54" t="s">
        <v>41</v>
      </c>
      <c r="T249" s="62" t="s">
        <v>130</v>
      </c>
      <c r="U249" s="16">
        <f t="shared" ca="1" si="119"/>
        <v>-2.8109589041095893</v>
      </c>
      <c r="V249" s="11" t="str">
        <v>All</v>
      </c>
      <c r="X249">
        <f t="shared" ca="1" si="105"/>
        <v>0.20153500429774823</v>
      </c>
      <c r="Z249" s="17">
        <f t="shared" ca="1" si="106"/>
        <v>46213</v>
      </c>
      <c r="AG249" s="33">
        <f t="shared" ca="1" si="107"/>
        <v>0.12838342649656806</v>
      </c>
      <c r="AH249">
        <f t="shared" ca="1" si="108"/>
        <v>8.5212478537025516E-2</v>
      </c>
      <c r="AI249">
        <f t="shared" ca="1" si="109"/>
        <v>7.7091719437652542E-2</v>
      </c>
      <c r="AJ249">
        <f t="shared" ca="1" si="110"/>
        <v>7.1059660767878827E-2</v>
      </c>
      <c r="AK249">
        <f t="shared" ca="1" si="111"/>
        <v>6.4276894108366692E-2</v>
      </c>
    </row>
    <row r="250" spans="1:37" ht="17.25" customHeight="1">
      <c r="A250" s="19"/>
      <c r="B250" s="45" t="s">
        <v>240</v>
      </c>
      <c r="C250" s="28" t="s">
        <v>35</v>
      </c>
      <c r="D250" s="28" t="s">
        <v>35</v>
      </c>
      <c r="E250" s="28" t="s">
        <v>241</v>
      </c>
      <c r="F250" s="28" t="s">
        <v>61</v>
      </c>
      <c r="G250" s="28" t="s">
        <v>38</v>
      </c>
      <c r="H250" s="23" t="str">
        <f>HYPERLINK("https://innovativeincomeinvestor.com/security/enbridge-inc-cumulative-redeemable-reset-rate-preference-shares-series-l/","EBBNF")</f>
        <v>EBBNF</v>
      </c>
      <c r="I250" s="47">
        <v>4.9590000000000002E-2</v>
      </c>
      <c r="J250" s="56">
        <f ca="1">IFERROR(__xludf.DUMMYFUNCTION("importxml(""https://bigcharts.marketwatch.com/quickchart/quickchart.asp?symb=EBBNF&amp;insttype=Stock"",""/html/body/div[1]/div[2]/table/tbody/tr/td[1]/table/tbody/tr[3]/td[1]/div"")"),23.47)</f>
        <v>23.47</v>
      </c>
      <c r="K250" s="67">
        <f ca="1">IFERROR(__xludf.DUMMYFUNCTION("googlefinance(H250,""change"")"),0.09)</f>
        <v>0.09</v>
      </c>
      <c r="L250" s="52" t="s">
        <v>47</v>
      </c>
      <c r="M250" s="52" t="s">
        <v>47</v>
      </c>
      <c r="N250" s="28" t="s">
        <v>39</v>
      </c>
      <c r="O250" s="28" t="s">
        <v>55</v>
      </c>
      <c r="P250" s="28" t="s">
        <v>32</v>
      </c>
      <c r="Q250" s="52" t="s">
        <v>47</v>
      </c>
      <c r="R250" s="64">
        <v>44805</v>
      </c>
      <c r="S250" s="54" t="s">
        <v>41</v>
      </c>
      <c r="T250" s="62" t="s">
        <v>81</v>
      </c>
      <c r="U250" s="16">
        <f t="shared" ca="1" si="119"/>
        <v>-2.8575342465753426</v>
      </c>
      <c r="V250" s="11" t="str">
        <v>All</v>
      </c>
      <c r="X250">
        <f t="shared" ca="1" si="105"/>
        <v>0.11526135429057149</v>
      </c>
      <c r="Z250" s="17">
        <f t="shared" ca="1" si="106"/>
        <v>46213</v>
      </c>
      <c r="AG250" s="33">
        <f t="shared" ca="1" si="107"/>
        <v>8.3120034912947477E-2</v>
      </c>
      <c r="AH250">
        <f t="shared" ca="1" si="108"/>
        <v>6.3995910949310328E-2</v>
      </c>
      <c r="AI250">
        <f t="shared" ca="1" si="109"/>
        <v>6.0381711720636305E-2</v>
      </c>
      <c r="AJ250">
        <f t="shared" ca="1" si="110"/>
        <v>5.7690030468028515E-2</v>
      </c>
      <c r="AK250">
        <f t="shared" ca="1" si="111"/>
        <v>5.4641149396699305E-2</v>
      </c>
    </row>
    <row r="251" spans="1:37" ht="17.25" customHeight="1">
      <c r="A251" s="19"/>
      <c r="B251" s="45" t="s">
        <v>242</v>
      </c>
      <c r="C251" s="28" t="s">
        <v>35</v>
      </c>
      <c r="D251" s="28" t="s">
        <v>27</v>
      </c>
      <c r="E251" s="28" t="s">
        <v>155</v>
      </c>
      <c r="F251" s="28" t="s">
        <v>46</v>
      </c>
      <c r="G251" s="28" t="s">
        <v>38</v>
      </c>
      <c r="H251" s="51" t="str">
        <f>HYPERLINK("https://innovativeincomeinvestor.com/security/energy-transfer-partners-lp-7-625-series-d-fixed-to-floating-rate-cumulative-redeemable-perpetual-preferred-units/","ET-D")</f>
        <v>ET-D</v>
      </c>
      <c r="I251" s="47">
        <v>7.6249999999999998E-2</v>
      </c>
      <c r="J251" s="170" t="s">
        <v>68</v>
      </c>
      <c r="K251" s="170" t="s">
        <v>68</v>
      </c>
      <c r="L251" s="170" t="s">
        <v>68</v>
      </c>
      <c r="M251" s="170" t="s">
        <v>68</v>
      </c>
      <c r="N251" s="28" t="s">
        <v>31</v>
      </c>
      <c r="O251" s="28" t="s">
        <v>69</v>
      </c>
      <c r="P251" s="28" t="s">
        <v>146</v>
      </c>
      <c r="Q251" s="171" t="s">
        <v>47</v>
      </c>
      <c r="R251" s="64">
        <v>45153</v>
      </c>
      <c r="S251" s="54" t="s">
        <v>41</v>
      </c>
      <c r="T251" s="62" t="s">
        <v>33</v>
      </c>
      <c r="U251" s="16">
        <f t="shared" ca="1" si="119"/>
        <v>-1.904109589041096</v>
      </c>
      <c r="V251" s="11" t="str">
        <v>All</v>
      </c>
      <c r="X251" t="e">
        <f t="shared" ca="1" si="105"/>
        <v>#VALUE!</v>
      </c>
      <c r="Z251" s="17">
        <f t="shared" ca="1" si="106"/>
        <v>46213</v>
      </c>
      <c r="AG251" s="33" t="e">
        <f t="shared" ca="1" si="107"/>
        <v>#VALUE!</v>
      </c>
      <c r="AH251" t="e">
        <f t="shared" ca="1" si="108"/>
        <v>#VALUE!</v>
      </c>
      <c r="AI251" t="e">
        <f t="shared" ca="1" si="109"/>
        <v>#VALUE!</v>
      </c>
      <c r="AJ251" t="e">
        <f t="shared" ca="1" si="110"/>
        <v>#VALUE!</v>
      </c>
      <c r="AK251" t="e">
        <f t="shared" ca="1" si="111"/>
        <v>#VALUE!</v>
      </c>
    </row>
    <row r="252" spans="1:37" ht="17.25" customHeight="1">
      <c r="A252" s="19"/>
      <c r="B252" s="45" t="s">
        <v>242</v>
      </c>
      <c r="C252" s="28" t="s">
        <v>35</v>
      </c>
      <c r="D252" s="28" t="s">
        <v>27</v>
      </c>
      <c r="E252" s="28" t="s">
        <v>155</v>
      </c>
      <c r="F252" s="28" t="s">
        <v>46</v>
      </c>
      <c r="G252" s="28" t="s">
        <v>38</v>
      </c>
      <c r="H252" s="51" t="str">
        <f>HYPERLINK("https://innovativeincomeinvestor.com/security/energy-transfer-partners-7-375-series-c-fixed-to-floating-rate-cumulative-redeemable-perpetual-preferred/","ET-C")</f>
        <v>ET-C</v>
      </c>
      <c r="I252" s="47">
        <v>7.3749999999999996E-2</v>
      </c>
      <c r="J252" s="170" t="s">
        <v>68</v>
      </c>
      <c r="K252" s="170" t="s">
        <v>68</v>
      </c>
      <c r="L252" s="170" t="s">
        <v>68</v>
      </c>
      <c r="M252" s="170" t="s">
        <v>68</v>
      </c>
      <c r="N252" s="28" t="s">
        <v>31</v>
      </c>
      <c r="O252" s="28" t="s">
        <v>69</v>
      </c>
      <c r="P252" s="28" t="s">
        <v>146</v>
      </c>
      <c r="Q252" s="52" t="s">
        <v>47</v>
      </c>
      <c r="R252" s="64">
        <v>45061</v>
      </c>
      <c r="S252" s="54" t="s">
        <v>41</v>
      </c>
      <c r="T252" s="62" t="s">
        <v>33</v>
      </c>
      <c r="U252" s="16">
        <f t="shared" ca="1" si="119"/>
        <v>-2.1561643835616437</v>
      </c>
      <c r="V252" s="11" t="str">
        <v>All</v>
      </c>
      <c r="X252" t="e">
        <f t="shared" ca="1" si="105"/>
        <v>#VALUE!</v>
      </c>
      <c r="Z252" s="17">
        <f t="shared" ca="1" si="106"/>
        <v>46213</v>
      </c>
      <c r="AG252" s="33" t="e">
        <f t="shared" ca="1" si="107"/>
        <v>#VALUE!</v>
      </c>
      <c r="AH252" t="e">
        <f t="shared" ca="1" si="108"/>
        <v>#VALUE!</v>
      </c>
      <c r="AI252" t="e">
        <f t="shared" ca="1" si="109"/>
        <v>#VALUE!</v>
      </c>
      <c r="AJ252" t="e">
        <f t="shared" ca="1" si="110"/>
        <v>#VALUE!</v>
      </c>
      <c r="AK252" t="e">
        <f t="shared" ca="1" si="111"/>
        <v>#VALUE!</v>
      </c>
    </row>
    <row r="253" spans="1:37" ht="17.25" customHeight="1">
      <c r="A253" s="68"/>
      <c r="B253" s="69" t="s">
        <v>243</v>
      </c>
      <c r="C253" s="28" t="s">
        <v>35</v>
      </c>
      <c r="D253" s="28" t="s">
        <v>27</v>
      </c>
      <c r="E253" s="28" t="s">
        <v>155</v>
      </c>
      <c r="F253" s="28" t="s">
        <v>46</v>
      </c>
      <c r="G253" s="28" t="s">
        <v>38</v>
      </c>
      <c r="H253" s="51" t="str">
        <f>HYPERLINK("https://innovativeincomeinvestor.com/security/energy-trasnfer-operting-lp-7-60-series-e-fixed-to-floating-rate-cumulative-redeemable-perpetual-preferred-units/","ET-E")</f>
        <v>ET-E</v>
      </c>
      <c r="I253" s="47">
        <v>7.5999999999999998E-2</v>
      </c>
      <c r="J253" s="170" t="s">
        <v>68</v>
      </c>
      <c r="K253" s="170" t="s">
        <v>68</v>
      </c>
      <c r="L253" s="170" t="s">
        <v>68</v>
      </c>
      <c r="M253" s="170" t="s">
        <v>68</v>
      </c>
      <c r="N253" s="28" t="s">
        <v>31</v>
      </c>
      <c r="O253" s="28" t="s">
        <v>69</v>
      </c>
      <c r="P253" s="28" t="s">
        <v>146</v>
      </c>
      <c r="Q253" s="52" t="s">
        <v>47</v>
      </c>
      <c r="R253" s="64">
        <v>45427</v>
      </c>
      <c r="S253" s="28" t="s">
        <v>41</v>
      </c>
      <c r="T253" s="62" t="s">
        <v>33</v>
      </c>
      <c r="U253" s="16">
        <f t="shared" ca="1" si="119"/>
        <v>-1.1534246575342466</v>
      </c>
      <c r="V253" s="11" t="str">
        <v>All</v>
      </c>
      <c r="X253" t="e">
        <f t="shared" ca="1" si="105"/>
        <v>#VALUE!</v>
      </c>
      <c r="Z253" s="17">
        <f t="shared" ca="1" si="106"/>
        <v>46213</v>
      </c>
      <c r="AG253" s="33" t="e">
        <f t="shared" ca="1" si="107"/>
        <v>#VALUE!</v>
      </c>
      <c r="AH253" t="e">
        <f t="shared" ca="1" si="108"/>
        <v>#VALUE!</v>
      </c>
      <c r="AI253" t="e">
        <f t="shared" ca="1" si="109"/>
        <v>#VALUE!</v>
      </c>
      <c r="AJ253" t="e">
        <f t="shared" ca="1" si="110"/>
        <v>#VALUE!</v>
      </c>
      <c r="AK253" t="e">
        <f t="shared" ca="1" si="111"/>
        <v>#VALUE!</v>
      </c>
    </row>
    <row r="254" spans="1:37" ht="17.25" customHeight="1">
      <c r="A254" s="68"/>
      <c r="B254" s="69" t="s">
        <v>244</v>
      </c>
      <c r="C254" s="28" t="s">
        <v>27</v>
      </c>
      <c r="D254" s="28" t="s">
        <v>35</v>
      </c>
      <c r="E254" s="28" t="s">
        <v>28</v>
      </c>
      <c r="F254" s="36" t="s">
        <v>29</v>
      </c>
      <c r="G254" s="28" t="s">
        <v>38</v>
      </c>
      <c r="H254" s="66" t="str">
        <f>HYPERLINK("https://innovativeincomeinvestor.com/security/enstar-group-limited-7-perpetual-non-cumulative-preference-shares-series-e/","ESGRO")</f>
        <v>ESGRO</v>
      </c>
      <c r="I254" s="47">
        <v>7.0000000000000007E-2</v>
      </c>
      <c r="J254" s="65">
        <f ca="1">IFERROR(__xludf.DUMMYFUNCTION("GoogleFinance(H254)"),19.17)</f>
        <v>19.170000000000002</v>
      </c>
      <c r="K254" s="48">
        <f ca="1">IFERROR(__xludf.DUMMYFUNCTION("googlefinance(H254,""change"")"),-0.08)</f>
        <v>-0.08</v>
      </c>
      <c r="L254" s="27">
        <f t="shared" ref="L254:L257" ca="1" si="137">(Q254*4)/J254</f>
        <v>9.1288471570161719E-2</v>
      </c>
      <c r="M254" s="27">
        <f ca="1">(25-J254)/25</f>
        <v>0.23319999999999994</v>
      </c>
      <c r="N254" s="28" t="s">
        <v>31</v>
      </c>
      <c r="O254" s="28" t="s">
        <v>69</v>
      </c>
      <c r="P254" s="28" t="s">
        <v>32</v>
      </c>
      <c r="Q254" s="29">
        <f t="shared" ref="Q254:Q255" si="138">(I254*25)/4</f>
        <v>0.43750000000000006</v>
      </c>
      <c r="R254" s="64">
        <v>45352</v>
      </c>
      <c r="S254" s="28" t="s">
        <v>41</v>
      </c>
      <c r="T254" s="62" t="s">
        <v>81</v>
      </c>
      <c r="U254" s="16">
        <f t="shared" ca="1" si="119"/>
        <v>-1.3589041095890411</v>
      </c>
      <c r="V254" s="11" t="str">
        <v>All</v>
      </c>
      <c r="X254">
        <f t="shared" ca="1" si="105"/>
        <v>0.35753709362828451</v>
      </c>
      <c r="Z254" s="17">
        <f t="shared" ca="1" si="106"/>
        <v>46213</v>
      </c>
      <c r="AG254" s="33">
        <f t="shared" ca="1" si="107"/>
        <v>0.21678207709932965</v>
      </c>
      <c r="AH254">
        <f t="shared" ca="1" si="108"/>
        <v>0.13490286885181688</v>
      </c>
      <c r="AI254">
        <f t="shared" ca="1" si="109"/>
        <v>0.11968885501820453</v>
      </c>
      <c r="AJ254">
        <f t="shared" ca="1" si="110"/>
        <v>0.10851471706269368</v>
      </c>
      <c r="AK254">
        <f t="shared" ca="1" si="111"/>
        <v>9.6418745033269318E-2</v>
      </c>
    </row>
    <row r="255" spans="1:37" ht="17.25" customHeight="1">
      <c r="A255" s="19"/>
      <c r="B255" s="45" t="s">
        <v>244</v>
      </c>
      <c r="C255" s="28" t="s">
        <v>27</v>
      </c>
      <c r="D255" s="28" t="s">
        <v>35</v>
      </c>
      <c r="E255" s="28" t="s">
        <v>28</v>
      </c>
      <c r="F255" s="28" t="s">
        <v>46</v>
      </c>
      <c r="G255" s="28" t="s">
        <v>38</v>
      </c>
      <c r="H255" s="66" t="str">
        <f>HYPERLINK("https://innovativeincomeinvestor.com/security/enstar-group-limited-7-fixed-to-floating-rateperpetual-non-cumulative-preference-shares-series-d/","ESGRP")</f>
        <v>ESGRP</v>
      </c>
      <c r="I255" s="47">
        <v>7.0000000000000007E-2</v>
      </c>
      <c r="J255" s="25">
        <f ca="1">IFERROR(__xludf.DUMMYFUNCTION("GoogleFinance(H255)"),19.73)</f>
        <v>19.73</v>
      </c>
      <c r="K255" s="48">
        <f ca="1">IFERROR(__xludf.DUMMYFUNCTION("googlefinance(H255,""change"")"),0.28)</f>
        <v>0.28000000000000003</v>
      </c>
      <c r="L255" s="27">
        <f t="shared" ca="1" si="137"/>
        <v>8.8697415103902694E-2</v>
      </c>
      <c r="M255" s="27">
        <f t="array" aca="1" ref="M255" ca="1">L255*U255+(25-J255)/25/U255</f>
        <v>0.34617891941196621</v>
      </c>
      <c r="N255" s="28" t="s">
        <v>31</v>
      </c>
      <c r="O255" s="28" t="s">
        <v>69</v>
      </c>
      <c r="P255" s="28" t="s">
        <v>32</v>
      </c>
      <c r="Q255" s="29">
        <f t="shared" si="138"/>
        <v>0.43750000000000006</v>
      </c>
      <c r="R255" s="64">
        <v>46997</v>
      </c>
      <c r="S255" s="54" t="s">
        <v>41</v>
      </c>
      <c r="T255" s="62" t="s">
        <v>81</v>
      </c>
      <c r="U255" s="16">
        <f t="shared" ca="1" si="119"/>
        <v>3.1479452054794521</v>
      </c>
      <c r="V255" s="11" t="str">
        <v>All</v>
      </c>
      <c r="X255">
        <f t="shared" ca="1" si="105"/>
        <v>0.32533596299438516</v>
      </c>
      <c r="Z255" s="17">
        <f t="shared" ca="1" si="106"/>
        <v>46213</v>
      </c>
      <c r="AG255" s="33">
        <f t="shared" ca="1" si="107"/>
        <v>0.20053151990431115</v>
      </c>
      <c r="AH255">
        <f t="shared" ca="1" si="108"/>
        <v>0.12771381637883678</v>
      </c>
      <c r="AI255">
        <f t="shared" ca="1" si="109"/>
        <v>0.11416046464868827</v>
      </c>
      <c r="AJ255">
        <f t="shared" ca="1" si="110"/>
        <v>0.10419611735131636</v>
      </c>
      <c r="AK255">
        <f t="shared" ca="1" si="111"/>
        <v>9.3378148087283119E-2</v>
      </c>
    </row>
    <row r="256" spans="1:37" ht="17.25" customHeight="1">
      <c r="A256" s="68"/>
      <c r="B256" s="69" t="s">
        <v>245</v>
      </c>
      <c r="C256" s="28" t="s">
        <v>27</v>
      </c>
      <c r="D256" s="28" t="s">
        <v>27</v>
      </c>
      <c r="E256" s="28" t="s">
        <v>73</v>
      </c>
      <c r="F256" s="36" t="s">
        <v>29</v>
      </c>
      <c r="G256" s="28" t="s">
        <v>30</v>
      </c>
      <c r="H256" s="66" t="str">
        <f>HYPERLINK("https://innovativeincomeinvestor.com/security/entergy-arkansas-inc-first-mortgage-bonds-4-875-series-due-september-1-2066/","EAI")</f>
        <v>EAI</v>
      </c>
      <c r="I256" s="47">
        <v>4.8750000000000002E-2</v>
      </c>
      <c r="J256" s="56">
        <f ca="1">IFERROR(__xludf.DUMMYFUNCTION("importxml(""https://bigcharts.marketwatch.com/quickchart/quickchart.asp?symb=EAI&amp;insttype=Stock"",""/html/body/div[1]/div[2]/table/tbody/tr/td[1]/table/tbody/tr[3]/td[1]/div"")"),20.51)</f>
        <v>20.51</v>
      </c>
      <c r="K256" s="26">
        <f ca="1">IFERROR(__xludf.DUMMYFUNCTION("GOOGLEFINANCE(H256,""change"")"),-0.06)</f>
        <v>-0.06</v>
      </c>
      <c r="L256" s="27">
        <f t="shared" ca="1" si="137"/>
        <v>5.9483178937103844E-2</v>
      </c>
      <c r="M256" s="27">
        <f t="shared" ref="M256:M260" ca="1" si="139">(25-J256)/25</f>
        <v>0.17959999999999993</v>
      </c>
      <c r="N256" s="28" t="s">
        <v>39</v>
      </c>
      <c r="O256" s="28" t="s">
        <v>246</v>
      </c>
      <c r="P256" s="28" t="s">
        <v>40</v>
      </c>
      <c r="Q256" s="65">
        <v>0.30499999999999999</v>
      </c>
      <c r="R256" s="64">
        <v>44440</v>
      </c>
      <c r="S256" s="64">
        <v>60876</v>
      </c>
      <c r="T256" s="62" t="s">
        <v>81</v>
      </c>
      <c r="U256" s="16">
        <f t="shared" ca="1" si="119"/>
        <v>-3.8575342465753426</v>
      </c>
      <c r="V256" s="11" t="str">
        <v>All</v>
      </c>
      <c r="X256">
        <f t="shared" ca="1" si="105"/>
        <v>0.25824361674785656</v>
      </c>
      <c r="Z256" s="17">
        <f t="shared" ca="1" si="106"/>
        <v>46213</v>
      </c>
      <c r="AG256" s="33">
        <f t="shared" ca="1" si="107"/>
        <v>0.1548902742535688</v>
      </c>
      <c r="AH256">
        <f t="shared" ca="1" si="108"/>
        <v>9.422680624644808E-2</v>
      </c>
      <c r="AI256">
        <f t="shared" ca="1" si="109"/>
        <v>8.2837982866162618E-2</v>
      </c>
      <c r="AJ256">
        <f t="shared" ca="1" si="110"/>
        <v>7.4377920814569939E-2</v>
      </c>
      <c r="AK256">
        <f t="shared" ca="1" si="111"/>
        <v>6.4846298716643394E-2</v>
      </c>
    </row>
    <row r="257" spans="1:37" ht="17.25" customHeight="1">
      <c r="A257" s="68"/>
      <c r="B257" s="69" t="s">
        <v>247</v>
      </c>
      <c r="C257" s="28" t="s">
        <v>27</v>
      </c>
      <c r="D257" s="28" t="s">
        <v>27</v>
      </c>
      <c r="E257" s="28" t="s">
        <v>73</v>
      </c>
      <c r="F257" s="36" t="s">
        <v>29</v>
      </c>
      <c r="G257" s="28" t="s">
        <v>30</v>
      </c>
      <c r="H257" s="66" t="str">
        <f>HYPERLINK("https://innovativeincomeinvestor.com/security/entergy-louisiana-llc-collateral-trust-mortgage-bonds-4-875-due-september-1-2066/","ELC")</f>
        <v>ELC</v>
      </c>
      <c r="I257" s="47">
        <v>4.8750000000000002E-2</v>
      </c>
      <c r="J257" s="56">
        <f ca="1">IFERROR(__xludf.DUMMYFUNCTION("importxml(""https://bigcharts.marketwatch.com/quickchart/quickchart.asp?symb=ELC&amp;insttype=Stock"",""/html/body/div[1]/div[2]/table/tbody/tr/td[1]/table/tbody/tr[3]/td[1]/div"")"),20.43)</f>
        <v>20.43</v>
      </c>
      <c r="K257" s="26">
        <f ca="1">IFERROR(__xludf.DUMMYFUNCTION("GOOGLEFINANCE(H257,""change"")"),-0.04)</f>
        <v>-0.04</v>
      </c>
      <c r="L257" s="27">
        <f t="shared" ca="1" si="137"/>
        <v>5.9716103768967202E-2</v>
      </c>
      <c r="M257" s="27">
        <f t="shared" ca="1" si="139"/>
        <v>0.18280000000000002</v>
      </c>
      <c r="N257" s="28" t="s">
        <v>39</v>
      </c>
      <c r="O257" s="28" t="s">
        <v>246</v>
      </c>
      <c r="P257" s="28" t="s">
        <v>40</v>
      </c>
      <c r="Q257" s="65">
        <v>0.30499999999999999</v>
      </c>
      <c r="R257" s="64">
        <v>44440</v>
      </c>
      <c r="S257" s="64">
        <v>60876</v>
      </c>
      <c r="T257" s="62" t="s">
        <v>81</v>
      </c>
      <c r="U257" s="16">
        <f t="shared" ca="1" si="119"/>
        <v>-3.8575342465753426</v>
      </c>
      <c r="V257" s="11" t="str">
        <v>All</v>
      </c>
      <c r="X257">
        <f t="shared" ca="1" si="105"/>
        <v>0.26249164589066298</v>
      </c>
      <c r="Z257" s="17">
        <f t="shared" ca="1" si="106"/>
        <v>46213</v>
      </c>
      <c r="AG257" s="33">
        <f t="shared" ca="1" si="107"/>
        <v>0.15701966484318369</v>
      </c>
      <c r="AH257">
        <f t="shared" ca="1" si="108"/>
        <v>9.5137232232218913E-2</v>
      </c>
      <c r="AI257">
        <f t="shared" ca="1" si="109"/>
        <v>8.3521878642001585E-2</v>
      </c>
      <c r="AJ257">
        <f t="shared" ca="1" si="110"/>
        <v>7.4894282047050301E-2</v>
      </c>
      <c r="AK257">
        <f t="shared" ca="1" si="111"/>
        <v>6.5175803409494609E-2</v>
      </c>
    </row>
    <row r="258" spans="1:37" ht="17.25" customHeight="1">
      <c r="A258" s="68"/>
      <c r="B258" s="69" t="s">
        <v>248</v>
      </c>
      <c r="C258" s="28" t="s">
        <v>27</v>
      </c>
      <c r="D258" s="28" t="s">
        <v>27</v>
      </c>
      <c r="E258" s="28" t="s">
        <v>73</v>
      </c>
      <c r="F258" s="36" t="s">
        <v>29</v>
      </c>
      <c r="G258" s="28" t="s">
        <v>30</v>
      </c>
      <c r="H258" s="66" t="str">
        <f>HYPERLINK("https://innovativeincomeinvestor.com/security/entergy-mississippi-first-mortgage-bonds-4-90-series-due-october-1-2066/","EMP")</f>
        <v>EMP</v>
      </c>
      <c r="I258" s="47">
        <v>4.9000000000000002E-2</v>
      </c>
      <c r="J258" s="56">
        <f ca="1">IFERROR(__xludf.DUMMYFUNCTION("importxml(""https://bigcharts.marketwatch.com/quickchart/quickchart.asp?symb=EMP&amp;insttype=Stock"",""/html/body/div[1]/div[2]/table/tbody/tr/td[1]/table/tbody/tr[3]/td[1]/div"")"),20.53)</f>
        <v>20.53</v>
      </c>
      <c r="K258" s="26">
        <f ca="1">IFERROR(__xludf.DUMMYFUNCTION("GOOGLEFINANCE(H258,""change"")"),-0.05)</f>
        <v>-0.05</v>
      </c>
      <c r="L258" s="27">
        <f ca="1">Q258*4/J258</f>
        <v>5.9620068192888453E-2</v>
      </c>
      <c r="M258" s="27">
        <f t="shared" ca="1" si="139"/>
        <v>0.17879999999999996</v>
      </c>
      <c r="N258" s="28" t="s">
        <v>39</v>
      </c>
      <c r="O258" s="28" t="s">
        <v>246</v>
      </c>
      <c r="P258" s="28" t="s">
        <v>92</v>
      </c>
      <c r="Q258" s="65">
        <v>0.30599999999999999</v>
      </c>
      <c r="R258" s="64">
        <v>44470</v>
      </c>
      <c r="S258" s="64">
        <v>60906</v>
      </c>
      <c r="T258" s="62" t="s">
        <v>74</v>
      </c>
      <c r="U258" s="16">
        <f t="shared" ca="1" si="119"/>
        <v>-3.7753424657534245</v>
      </c>
      <c r="V258" s="11" t="str">
        <v>All</v>
      </c>
      <c r="X258">
        <f t="shared" ca="1" si="105"/>
        <v>0.25746852750866628</v>
      </c>
      <c r="Z258" s="17">
        <f t="shared" ca="1" si="106"/>
        <v>46213</v>
      </c>
      <c r="AG258" s="33">
        <f t="shared" ca="1" si="107"/>
        <v>0.15464013009941066</v>
      </c>
      <c r="AH258">
        <f t="shared" ca="1" si="108"/>
        <v>9.4279947298289299E-2</v>
      </c>
      <c r="AI258">
        <f t="shared" ca="1" si="109"/>
        <v>8.2948195139110933E-2</v>
      </c>
      <c r="AJ258">
        <f t="shared" ca="1" si="110"/>
        <v>7.4531084630152206E-2</v>
      </c>
      <c r="AK258">
        <f t="shared" ca="1" si="111"/>
        <v>6.5050470527734369E-2</v>
      </c>
    </row>
    <row r="259" spans="1:37" ht="17.25" customHeight="1">
      <c r="A259" s="68"/>
      <c r="B259" s="69" t="s">
        <v>249</v>
      </c>
      <c r="C259" s="28" t="s">
        <v>27</v>
      </c>
      <c r="D259" s="28" t="s">
        <v>27</v>
      </c>
      <c r="E259" s="28" t="s">
        <v>73</v>
      </c>
      <c r="F259" s="36" t="s">
        <v>29</v>
      </c>
      <c r="G259" s="28" t="s">
        <v>30</v>
      </c>
      <c r="H259" s="66" t="str">
        <f>HYPERLINK("https://innovativeincomeinvestor.com/security/entergy-new-orleans-inc-first-mortgage-bonds-5-0-series-due-december-1-2052/","ENJ")</f>
        <v>ENJ</v>
      </c>
      <c r="I259" s="47">
        <v>0.05</v>
      </c>
      <c r="J259" s="56">
        <f ca="1">IFERROR(__xludf.DUMMYFUNCTION("importxml(""https://bigcharts.marketwatch.com/quickchart/quickchart.asp?symb=ENJ&amp;insttype=Stock"",""/html/body/div[1]/div[2]/table/tbody/tr/td[1]/table/tbody/tr[3]/td[1]/div"")"),20.655)</f>
        <v>20.655000000000001</v>
      </c>
      <c r="K259" s="26">
        <f ca="1">IFERROR(__xludf.DUMMYFUNCTION("GOOGLEFINANCE(H259,""change"")"),0.17)</f>
        <v>0.17</v>
      </c>
      <c r="L259" s="27">
        <f ca="1">(Q259*4)/J259</f>
        <v>6.0033890099249573E-2</v>
      </c>
      <c r="M259" s="27">
        <f t="shared" ca="1" si="139"/>
        <v>0.17379999999999995</v>
      </c>
      <c r="N259" s="28" t="s">
        <v>39</v>
      </c>
      <c r="O259" s="28" t="s">
        <v>250</v>
      </c>
      <c r="P259" s="28" t="s">
        <v>40</v>
      </c>
      <c r="Q259" s="65">
        <v>0.31</v>
      </c>
      <c r="R259" s="64">
        <v>43070</v>
      </c>
      <c r="S259" s="64">
        <v>55854</v>
      </c>
      <c r="T259" s="62" t="s">
        <v>81</v>
      </c>
      <c r="U259" s="16">
        <f t="shared" ca="1" si="119"/>
        <v>-7.6109589041095891</v>
      </c>
      <c r="V259" s="11" t="str">
        <v>All</v>
      </c>
      <c r="X259">
        <f t="shared" ref="X259:X322" ca="1" si="140">YIELD($W$1,Z259,I259,J259*4,100,4,0)</f>
        <v>0.25200995678515264</v>
      </c>
      <c r="Z259" s="17">
        <f t="shared" ref="Z259:Z322" ca="1" si="141">TODAY()+($Z$1*$Y$1)</f>
        <v>46213</v>
      </c>
      <c r="AG259" s="33">
        <f t="shared" ref="AG259:AG322" ca="1" si="142">YIELD($W$1,$AA$2,I259,J259*4,100,4,0)</f>
        <v>0.15245367902178342</v>
      </c>
      <c r="AH259">
        <f t="shared" ref="AH259:AH322" ca="1" si="143">YIELD($W$1,$AB$2,I259,J259*4,100,4,0)</f>
        <v>9.3982640843706236E-2</v>
      </c>
      <c r="AI259">
        <f t="shared" ref="AI259:AI322" ca="1" si="144">YIELD($W$1,$AC$2,I259,J259*4,100,4,0)</f>
        <v>8.3004862511241354E-2</v>
      </c>
      <c r="AJ259">
        <f t="shared" ref="AJ259:AJ322" ca="1" si="145">YIELD($W$1,$AD$2,I259,J259*4,100,4,0)</f>
        <v>7.4852462557473451E-2</v>
      </c>
      <c r="AK259">
        <f t="shared" ref="AK259:AK322" ca="1" si="146">YIELD($W$1,$AE$2,I259,J259*4,100,4,0)</f>
        <v>6.5679183057976223E-2</v>
      </c>
    </row>
    <row r="260" spans="1:37" ht="17.25" customHeight="1">
      <c r="A260" s="68"/>
      <c r="B260" s="69" t="s">
        <v>249</v>
      </c>
      <c r="C260" s="28" t="s">
        <v>27</v>
      </c>
      <c r="D260" s="28" t="s">
        <v>27</v>
      </c>
      <c r="E260" s="28" t="s">
        <v>73</v>
      </c>
      <c r="F260" s="36" t="s">
        <v>29</v>
      </c>
      <c r="G260" s="28" t="s">
        <v>30</v>
      </c>
      <c r="H260" s="66" t="str">
        <f>HYPERLINK("https://innovativeincomeinvestor.com/security/entergy-new-orleans-inc-first-mortgage-bonds-5-50-series-due-april-1-2066/","ENO")</f>
        <v>ENO</v>
      </c>
      <c r="I260" s="47">
        <v>5.45E-2</v>
      </c>
      <c r="J260" s="150">
        <f ca="1">IFERROR(__xludf.DUMMYFUNCTION("importxml(""https://bigcharts.marketwatch.com/quickchart/quickchart.asp?symb=eno&amp;insttype=Stock"",""/html/body/div[1]/div[2]/table/tbody/tr/td[1]/table/tbody/tr[3]/td[1]/div"")"),21.995)</f>
        <v>21.995000000000001</v>
      </c>
      <c r="K260" s="26">
        <f ca="1">IFERROR(__xludf.DUMMYFUNCTION("GOOGLEFINANCE(H260,""change"")"),-0.11)</f>
        <v>-0.11</v>
      </c>
      <c r="L260" s="27">
        <f ca="1">Q260*4/J260</f>
        <v>6.1832234598772448E-2</v>
      </c>
      <c r="M260" s="27">
        <f t="shared" ca="1" si="139"/>
        <v>0.12019999999999996</v>
      </c>
      <c r="N260" s="28" t="s">
        <v>39</v>
      </c>
      <c r="O260" s="28" t="s">
        <v>250</v>
      </c>
      <c r="P260" s="28" t="s">
        <v>76</v>
      </c>
      <c r="Q260" s="65">
        <v>0.34</v>
      </c>
      <c r="R260" s="64">
        <v>44287</v>
      </c>
      <c r="S260" s="64">
        <v>60723</v>
      </c>
      <c r="T260" s="62" t="s">
        <v>74</v>
      </c>
      <c r="U260" s="16">
        <f t="shared" ca="1" si="119"/>
        <v>-4.2767123287671236</v>
      </c>
      <c r="V260" s="11" t="str">
        <v>All</v>
      </c>
      <c r="X260">
        <f t="shared" ca="1" si="140"/>
        <v>0.18924546799737788</v>
      </c>
      <c r="Z260" s="17">
        <f t="shared" ca="1" si="141"/>
        <v>46213</v>
      </c>
      <c r="AG260" s="33">
        <f t="shared" ca="1" si="142"/>
        <v>0.12322626986232409</v>
      </c>
      <c r="AH260">
        <f t="shared" ca="1" si="143"/>
        <v>8.4217081312265477E-2</v>
      </c>
      <c r="AI260">
        <f t="shared" ca="1" si="144"/>
        <v>7.6877734617763163E-2</v>
      </c>
      <c r="AJ260">
        <f t="shared" ca="1" si="145"/>
        <v>7.1428303515969238E-2</v>
      </c>
      <c r="AK260">
        <f t="shared" ca="1" si="146"/>
        <v>6.5312193705839044E-2</v>
      </c>
    </row>
    <row r="261" spans="1:37" ht="17.25" customHeight="1">
      <c r="A261" s="19"/>
      <c r="B261" s="45" t="s">
        <v>251</v>
      </c>
      <c r="C261" s="28" t="s">
        <v>35</v>
      </c>
      <c r="D261" s="28" t="s">
        <v>35</v>
      </c>
      <c r="E261" s="28" t="s">
        <v>73</v>
      </c>
      <c r="F261" s="36" t="s">
        <v>29</v>
      </c>
      <c r="G261" s="28" t="s">
        <v>38</v>
      </c>
      <c r="H261" s="83" t="str">
        <f>HYPERLINK("https://innovativeincomeinvestor.com/security/entergy-texas-inc-5-375-series-a-preferred-stock-cumulative-no-par-value/","ETI-")</f>
        <v>ETI-</v>
      </c>
      <c r="I261" s="47">
        <v>5.3749999999999999E-2</v>
      </c>
      <c r="J261" s="26">
        <f ca="1">IFERROR(__xludf.DUMMYFUNCTION("GOOGLEFINANCE(H261)"),22.65)</f>
        <v>22.65</v>
      </c>
      <c r="K261" s="26">
        <f ca="1">IFERROR(__xludf.DUMMYFUNCTION("GOOGLEFINANCE(H261,""change"")"),-0.2)</f>
        <v>-0.2</v>
      </c>
      <c r="L261" s="27">
        <f t="shared" ref="L261:L267" ca="1" si="147">(Q261*4)/J261</f>
        <v>5.9320088300220751E-2</v>
      </c>
      <c r="M261" s="27">
        <f t="shared" ref="M261:M262" ca="1" si="148">L261*U261+(25-J261)/25/U261</f>
        <v>-0.17157795974315132</v>
      </c>
      <c r="N261" s="28" t="s">
        <v>39</v>
      </c>
      <c r="O261" s="28" t="s">
        <v>55</v>
      </c>
      <c r="P261" s="28" t="s">
        <v>146</v>
      </c>
      <c r="Q261" s="65">
        <v>0.33589999999999998</v>
      </c>
      <c r="R261" s="64">
        <v>45580</v>
      </c>
      <c r="S261" s="28" t="s">
        <v>41</v>
      </c>
      <c r="T261" s="62" t="s">
        <v>60</v>
      </c>
      <c r="U261" s="16">
        <f t="shared" ca="1" si="119"/>
        <v>-0.73424657534246573</v>
      </c>
      <c r="V261" s="11" t="str">
        <v>All</v>
      </c>
      <c r="X261">
        <f t="shared" ca="1" si="140"/>
        <v>0.15716105192017868</v>
      </c>
      <c r="Z261" s="17">
        <f t="shared" ca="1" si="141"/>
        <v>46213</v>
      </c>
      <c r="AG261" s="33">
        <f t="shared" ca="1" si="142"/>
        <v>0.10655687967190962</v>
      </c>
      <c r="AH261">
        <f t="shared" ca="1" si="143"/>
        <v>7.6564883338613401E-2</v>
      </c>
      <c r="AI261">
        <f t="shared" ca="1" si="144"/>
        <v>7.091243931067677E-2</v>
      </c>
      <c r="AJ261">
        <f t="shared" ca="1" si="145"/>
        <v>6.6711610438228083E-2</v>
      </c>
      <c r="AK261">
        <f t="shared" ca="1" si="146"/>
        <v>6.1984813906922405E-2</v>
      </c>
    </row>
    <row r="262" spans="1:37" ht="17.25" customHeight="1">
      <c r="A262" s="19"/>
      <c r="B262" s="45" t="s">
        <v>252</v>
      </c>
      <c r="C262" s="28" t="s">
        <v>27</v>
      </c>
      <c r="D262" s="28" t="s">
        <v>35</v>
      </c>
      <c r="E262" s="28" t="s">
        <v>110</v>
      </c>
      <c r="F262" s="36" t="s">
        <v>29</v>
      </c>
      <c r="G262" s="28" t="s">
        <v>38</v>
      </c>
      <c r="H262" s="83" t="str">
        <f>HYPERLINK("https://innovativeincomeinvestor.com/security/enterprise-financial-services-corp-5-00-fixed-rate-non-cumulative-perpetual-preferred-stock-series-a/","EFSCP")</f>
        <v>EFSCP</v>
      </c>
      <c r="I262" s="85">
        <v>0.05</v>
      </c>
      <c r="J262" s="26">
        <f ca="1">IFERROR(__xludf.DUMMYFUNCTION("GOOGLEFINANCE(H262)"),20.4)</f>
        <v>20.399999999999999</v>
      </c>
      <c r="K262" s="26">
        <f ca="1">IFERROR(__xludf.DUMMYFUNCTION("GOOGLEFINANCE(H262,""change"")"),0.1)</f>
        <v>0.1</v>
      </c>
      <c r="L262" s="27">
        <f t="shared" ca="1" si="147"/>
        <v>6.0784313725490202E-2</v>
      </c>
      <c r="M262" s="27">
        <f t="shared" ca="1" si="148"/>
        <v>0.2155094295241867</v>
      </c>
      <c r="N262" s="28" t="s">
        <v>31</v>
      </c>
      <c r="O262" s="28" t="s">
        <v>32</v>
      </c>
      <c r="P262" s="28" t="s">
        <v>32</v>
      </c>
      <c r="Q262" s="29">
        <v>0.31</v>
      </c>
      <c r="R262" s="53">
        <v>46371</v>
      </c>
      <c r="S262" s="54" t="s">
        <v>86</v>
      </c>
      <c r="T262" s="62" t="s">
        <v>52</v>
      </c>
      <c r="U262" s="16">
        <f t="shared" ca="1" si="119"/>
        <v>1.4328767123287671</v>
      </c>
      <c r="V262" s="11" t="str">
        <v>All</v>
      </c>
      <c r="X262">
        <f t="shared" ca="1" si="140"/>
        <v>0.26551417276699246</v>
      </c>
      <c r="Z262" s="17">
        <f t="shared" ca="1" si="141"/>
        <v>46213</v>
      </c>
      <c r="AG262" s="33">
        <f t="shared" ca="1" si="142"/>
        <v>0.15922955733109373</v>
      </c>
      <c r="AH262">
        <f t="shared" ca="1" si="143"/>
        <v>9.6885649981270763E-2</v>
      </c>
      <c r="AI262">
        <f t="shared" ca="1" si="144"/>
        <v>8.5188211075417922E-2</v>
      </c>
      <c r="AJ262">
        <f t="shared" ca="1" si="145"/>
        <v>7.650379394173637E-2</v>
      </c>
      <c r="AK262">
        <f t="shared" ca="1" si="146"/>
        <v>6.6738178490251182E-2</v>
      </c>
    </row>
    <row r="263" spans="1:37" ht="17.25" customHeight="1">
      <c r="A263" s="19"/>
      <c r="B263" s="45" t="s">
        <v>253</v>
      </c>
      <c r="C263" s="28" t="s">
        <v>35</v>
      </c>
      <c r="D263" s="28" t="s">
        <v>27</v>
      </c>
      <c r="E263" s="28" t="s">
        <v>63</v>
      </c>
      <c r="F263" s="36" t="s">
        <v>29</v>
      </c>
      <c r="G263" s="28" t="s">
        <v>38</v>
      </c>
      <c r="H263" s="83" t="str">
        <f>HYPERLINK("https://innovativeincomeinvestor.com/security/epr-properties-5-75-series-g-cumulative-redeemable-preferred-shares/","EPR-G")</f>
        <v>EPR-G</v>
      </c>
      <c r="I263" s="85">
        <v>5.7500000000000002E-2</v>
      </c>
      <c r="J263" s="26">
        <f ca="1">IFERROR(__xludf.DUMMYFUNCTION("GOOGLEFINANCE(H263)"),21.3)</f>
        <v>21.3</v>
      </c>
      <c r="K263" s="26">
        <f ca="1">IFERROR(__xludf.DUMMYFUNCTION("GOOGLEFINANCE(H263,""change"")"),0.1)</f>
        <v>0.1</v>
      </c>
      <c r="L263" s="27">
        <f t="shared" ca="1" si="147"/>
        <v>6.7488262910798125E-2</v>
      </c>
      <c r="M263" s="27">
        <f t="shared" ref="M263:M266" ca="1" si="149">(25-J263)/25</f>
        <v>0.14799999999999996</v>
      </c>
      <c r="N263" s="28" t="s">
        <v>31</v>
      </c>
      <c r="O263" s="28" t="s">
        <v>32</v>
      </c>
      <c r="P263" s="28" t="s">
        <v>254</v>
      </c>
      <c r="Q263" s="29">
        <f t="shared" ref="Q263:Q265" si="150">(I263*25)/4</f>
        <v>0.359375</v>
      </c>
      <c r="R263" s="53">
        <v>44895</v>
      </c>
      <c r="S263" s="54" t="s">
        <v>86</v>
      </c>
      <c r="T263" s="62" t="s">
        <v>60</v>
      </c>
      <c r="U263" s="16">
        <f t="shared" ca="1" si="119"/>
        <v>-2.6109589041095891</v>
      </c>
      <c r="V263" s="11" t="str">
        <v>All</v>
      </c>
      <c r="X263">
        <f t="shared" ca="1" si="140"/>
        <v>0.22708478049428157</v>
      </c>
      <c r="Z263" s="17">
        <f t="shared" ca="1" si="141"/>
        <v>46213</v>
      </c>
      <c r="AG263" s="33">
        <f t="shared" ca="1" si="142"/>
        <v>0.14398019236485726</v>
      </c>
      <c r="AH263">
        <f t="shared" ca="1" si="143"/>
        <v>9.5048334487074379E-2</v>
      </c>
      <c r="AI263">
        <f t="shared" ca="1" si="144"/>
        <v>8.5864936767288985E-2</v>
      </c>
      <c r="AJ263">
        <f t="shared" ca="1" si="145"/>
        <v>7.9059297496074585E-2</v>
      </c>
      <c r="AK263">
        <f t="shared" ca="1" si="146"/>
        <v>7.1467119721634151E-2</v>
      </c>
    </row>
    <row r="264" spans="1:37" ht="17.25" customHeight="1">
      <c r="A264" s="19"/>
      <c r="B264" s="45" t="s">
        <v>253</v>
      </c>
      <c r="C264" s="28" t="s">
        <v>35</v>
      </c>
      <c r="D264" s="28" t="s">
        <v>27</v>
      </c>
      <c r="E264" s="28" t="s">
        <v>63</v>
      </c>
      <c r="F264" s="36" t="s">
        <v>29</v>
      </c>
      <c r="G264" s="28" t="s">
        <v>255</v>
      </c>
      <c r="H264" s="83" t="str">
        <f>HYPERLINK("https://innovativeincomeinvestor.com/security/epr-properties-5-75-series-c-cumulative-convertible-preferred-shares/","EPR-C")</f>
        <v>EPR-C</v>
      </c>
      <c r="I264" s="85">
        <v>5.7500000000000002E-2</v>
      </c>
      <c r="J264" s="26">
        <f ca="1">IFERROR(__xludf.DUMMYFUNCTION("GOOGLEFINANCE(H264)"),25.86)</f>
        <v>25.86</v>
      </c>
      <c r="K264" s="26">
        <f ca="1">IFERROR(__xludf.DUMMYFUNCTION("GOOGLEFINANCE(H264,""change"")"),-0.18)</f>
        <v>-0.18</v>
      </c>
      <c r="L264" s="27">
        <f t="shared" ca="1" si="147"/>
        <v>5.5587780355761798E-2</v>
      </c>
      <c r="M264" s="27">
        <f t="shared" ca="1" si="149"/>
        <v>-3.4399999999999979E-2</v>
      </c>
      <c r="N264" s="28" t="s">
        <v>31</v>
      </c>
      <c r="O264" s="28" t="s">
        <v>32</v>
      </c>
      <c r="P264" s="28" t="s">
        <v>254</v>
      </c>
      <c r="Q264" s="29">
        <f t="shared" si="150"/>
        <v>0.359375</v>
      </c>
      <c r="R264" s="53">
        <v>40923</v>
      </c>
      <c r="S264" s="54" t="s">
        <v>86</v>
      </c>
      <c r="T264" s="62" t="s">
        <v>60</v>
      </c>
      <c r="U264" s="16"/>
      <c r="V264" s="11" t="str">
        <v>All</v>
      </c>
      <c r="X264">
        <f t="shared" ca="1" si="140"/>
        <v>2.2612461772153147E-2</v>
      </c>
      <c r="Z264" s="17">
        <f t="shared" ca="1" si="141"/>
        <v>46213</v>
      </c>
      <c r="AG264" s="33">
        <f t="shared" ca="1" si="142"/>
        <v>3.9526391099914314E-2</v>
      </c>
      <c r="AH264">
        <f t="shared" ca="1" si="143"/>
        <v>4.9683624323862044E-2</v>
      </c>
      <c r="AI264">
        <f t="shared" ca="1" si="144"/>
        <v>5.1609180471253603E-2</v>
      </c>
      <c r="AJ264">
        <f t="shared" ca="1" si="145"/>
        <v>5.3042998203553661E-2</v>
      </c>
      <c r="AK264">
        <f t="shared" ca="1" si="146"/>
        <v>5.4659731370413453E-2</v>
      </c>
    </row>
    <row r="265" spans="1:37" ht="17.25" customHeight="1">
      <c r="A265" s="19"/>
      <c r="B265" s="45" t="s">
        <v>253</v>
      </c>
      <c r="C265" s="28" t="s">
        <v>35</v>
      </c>
      <c r="D265" s="28" t="s">
        <v>27</v>
      </c>
      <c r="E265" s="28" t="s">
        <v>63</v>
      </c>
      <c r="F265" s="36" t="s">
        <v>29</v>
      </c>
      <c r="G265" s="28" t="s">
        <v>255</v>
      </c>
      <c r="H265" s="83" t="str">
        <f>HYPERLINK("https://innovativeincomeinvestor.com/security/epr-properties-9-0-series-e-cumulative-convertible-preferred-shares/","EPR-E")</f>
        <v>EPR-E</v>
      </c>
      <c r="I265" s="85">
        <v>0.09</v>
      </c>
      <c r="J265" s="26">
        <f ca="1">IFERROR(__xludf.DUMMYFUNCTION("GOOGLEFINANCE(H265)"),31.72)</f>
        <v>31.72</v>
      </c>
      <c r="K265" s="26">
        <f ca="1">IFERROR(__xludf.DUMMYFUNCTION("GOOGLEFINANCE(H265,""change"")"),-0.1)</f>
        <v>-0.1</v>
      </c>
      <c r="L265" s="27">
        <f t="shared" ca="1" si="147"/>
        <v>7.0933165195460279E-2</v>
      </c>
      <c r="M265" s="27">
        <f t="shared" ca="1" si="149"/>
        <v>-0.26879999999999993</v>
      </c>
      <c r="N265" s="28" t="s">
        <v>31</v>
      </c>
      <c r="O265" s="28" t="s">
        <v>32</v>
      </c>
      <c r="P265" s="28" t="s">
        <v>254</v>
      </c>
      <c r="Q265" s="29">
        <f t="shared" si="150"/>
        <v>0.5625</v>
      </c>
      <c r="R265" s="53">
        <v>41384</v>
      </c>
      <c r="S265" s="54" t="s">
        <v>86</v>
      </c>
      <c r="T265" s="62" t="s">
        <v>60</v>
      </c>
      <c r="U265" s="16" t="s">
        <v>0</v>
      </c>
      <c r="V265" s="11" t="str">
        <v>All</v>
      </c>
      <c r="X265">
        <f t="shared" ca="1" si="140"/>
        <v>-0.15351406334803958</v>
      </c>
      <c r="Z265" s="17">
        <f t="shared" ca="1" si="141"/>
        <v>46213</v>
      </c>
      <c r="AG265" s="33">
        <f t="shared" ca="1" si="142"/>
        <v>-3.8625875914991899E-2</v>
      </c>
      <c r="AH265">
        <f t="shared" ca="1" si="143"/>
        <v>3.1634301382801974E-2</v>
      </c>
      <c r="AI265">
        <f t="shared" ca="1" si="144"/>
        <v>4.499158059065584E-2</v>
      </c>
      <c r="AJ265">
        <f t="shared" ca="1" si="145"/>
        <v>5.487851353876199E-2</v>
      </c>
      <c r="AK265">
        <f t="shared" ca="1" si="146"/>
        <v>6.5737700145886285E-2</v>
      </c>
    </row>
    <row r="266" spans="1:37" ht="17.25" customHeight="1">
      <c r="A266" s="19"/>
      <c r="B266" s="45" t="s">
        <v>256</v>
      </c>
      <c r="C266" s="28" t="s">
        <v>27</v>
      </c>
      <c r="D266" s="28" t="s">
        <v>35</v>
      </c>
      <c r="E266" s="28" t="s">
        <v>28</v>
      </c>
      <c r="F266" s="36" t="s">
        <v>29</v>
      </c>
      <c r="G266" s="28" t="s">
        <v>38</v>
      </c>
      <c r="H266" s="83" t="str">
        <f>HYPERLINK("https://innovativeincomeinvestor.com/security/axa-equitable-holdings-inc-5-25-fixed-rate-noncumulative-perpetual-preferred-stock-series-a/","EQH-A")</f>
        <v>EQH-A</v>
      </c>
      <c r="I266" s="85">
        <v>5.2499999999999998E-2</v>
      </c>
      <c r="J266" s="65">
        <f ca="1">IFERROR(__xludf.DUMMYFUNCTION("GoogleFinance(H266)"),20.65)</f>
        <v>20.65</v>
      </c>
      <c r="K266" s="26">
        <f ca="1">IFERROR(__xludf.DUMMYFUNCTION("GOOGLEFINANCE(H266,""change"")"),-0.03)</f>
        <v>-0.03</v>
      </c>
      <c r="L266" s="27">
        <f t="shared" ca="1" si="147"/>
        <v>6.3922518159806305E-2</v>
      </c>
      <c r="M266" s="27">
        <f t="shared" ca="1" si="149"/>
        <v>0.17400000000000004</v>
      </c>
      <c r="N266" s="28" t="s">
        <v>0</v>
      </c>
      <c r="O266" s="28" t="s">
        <v>55</v>
      </c>
      <c r="P266" s="28" t="s">
        <v>83</v>
      </c>
      <c r="Q266" s="29">
        <v>0.33</v>
      </c>
      <c r="R266" s="53">
        <v>45627</v>
      </c>
      <c r="S266" s="54" t="s">
        <v>41</v>
      </c>
      <c r="T266" s="62" t="s">
        <v>52</v>
      </c>
      <c r="U266" s="16">
        <f t="shared" ref="U266:U377" ca="1" si="151">(R266-TODAY())/365</f>
        <v>-0.60547945205479448</v>
      </c>
      <c r="V266" s="11" t="str">
        <v>All</v>
      </c>
      <c r="X266">
        <f t="shared" ca="1" si="140"/>
        <v>0.25509859928379514</v>
      </c>
      <c r="Z266" s="17">
        <f t="shared" ca="1" si="141"/>
        <v>46213</v>
      </c>
      <c r="AG266" s="33">
        <f t="shared" ca="1" si="142"/>
        <v>0.15538325941634637</v>
      </c>
      <c r="AH266">
        <f t="shared" ca="1" si="143"/>
        <v>9.683182155008889E-2</v>
      </c>
      <c r="AI266">
        <f t="shared" ca="1" si="144"/>
        <v>8.584611867848084E-2</v>
      </c>
      <c r="AJ266">
        <f t="shared" ca="1" si="145"/>
        <v>7.7695312052889223E-2</v>
      </c>
      <c r="AK266">
        <f t="shared" ca="1" si="146"/>
        <v>6.8554820652752813E-2</v>
      </c>
    </row>
    <row r="267" spans="1:37" ht="17.25" customHeight="1">
      <c r="A267" s="19"/>
      <c r="B267" s="45" t="s">
        <v>256</v>
      </c>
      <c r="C267" s="28" t="s">
        <v>27</v>
      </c>
      <c r="D267" s="28" t="s">
        <v>35</v>
      </c>
      <c r="E267" s="28" t="s">
        <v>28</v>
      </c>
      <c r="F267" s="36" t="s">
        <v>29</v>
      </c>
      <c r="G267" s="28" t="s">
        <v>38</v>
      </c>
      <c r="H267" s="23" t="str">
        <f>HYPERLINK("https://innovativeincomeinvestor.com/security/equitable-holdings-inc-4-30-fixed-rate-noncumulative-perpetual-preferred-stock-series-c/","EQH-C")</f>
        <v>EQH-C</v>
      </c>
      <c r="I267" s="47">
        <v>4.2999999999999997E-2</v>
      </c>
      <c r="J267" s="65">
        <f ca="1">IFERROR(__xludf.DUMMYFUNCTION("GoogleFinance(H267)"),16.8)</f>
        <v>16.8</v>
      </c>
      <c r="K267" s="26">
        <f ca="1">IFERROR(__xludf.DUMMYFUNCTION("GOOGLEFINANCE(H267,""change"")"),-0.02)</f>
        <v>-0.02</v>
      </c>
      <c r="L267" s="27">
        <f t="shared" ca="1" si="147"/>
        <v>6.4285714285714293E-2</v>
      </c>
      <c r="M267" s="27">
        <f t="array" aca="1" ref="M267" ca="1">L267*U267+(25-J267)/25/U267</f>
        <v>0.52642099614923299</v>
      </c>
      <c r="N267" s="28" t="s">
        <v>39</v>
      </c>
      <c r="O267" s="28" t="s">
        <v>55</v>
      </c>
      <c r="P267" s="28" t="s">
        <v>83</v>
      </c>
      <c r="Q267" s="29">
        <v>0.27</v>
      </c>
      <c r="R267" s="53">
        <v>46096</v>
      </c>
      <c r="S267" s="54" t="s">
        <v>41</v>
      </c>
      <c r="T267" s="62" t="s">
        <v>52</v>
      </c>
      <c r="U267" s="16">
        <f t="shared" ca="1" si="151"/>
        <v>0.67945205479452053</v>
      </c>
      <c r="V267" s="11" t="str">
        <v>All</v>
      </c>
      <c r="X267">
        <f t="shared" ca="1" si="140"/>
        <v>0.47347170639561798</v>
      </c>
      <c r="Z267" s="17">
        <f t="shared" ca="1" si="141"/>
        <v>46213</v>
      </c>
      <c r="AG267" s="33">
        <f t="shared" ca="1" si="142"/>
        <v>0.25807297136526691</v>
      </c>
      <c r="AH267">
        <f t="shared" ca="1" si="143"/>
        <v>0.13412675208559496</v>
      </c>
      <c r="AI267">
        <f t="shared" ca="1" si="144"/>
        <v>0.11105884167229879</v>
      </c>
      <c r="AJ267">
        <f t="shared" ca="1" si="145"/>
        <v>9.3961984550216829E-2</v>
      </c>
      <c r="AK267">
        <f t="shared" ca="1" si="146"/>
        <v>7.4739506384704071E-2</v>
      </c>
    </row>
    <row r="268" spans="1:37" ht="17.25" customHeight="1">
      <c r="A268" s="19"/>
      <c r="B268" s="45" t="s">
        <v>257</v>
      </c>
      <c r="C268" s="28" t="s">
        <v>35</v>
      </c>
      <c r="D268" s="28" t="s">
        <v>27</v>
      </c>
      <c r="E268" s="28" t="s">
        <v>63</v>
      </c>
      <c r="F268" s="36" t="s">
        <v>29</v>
      </c>
      <c r="G268" s="28" t="s">
        <v>258</v>
      </c>
      <c r="H268" s="23" t="str">
        <f>HYPERLINK("https://innovativeincomeinvestor.com/security/equity-commonwealth-6-1-2-series-d-cumulative-convertible-preferred-shares/","EQC-D")</f>
        <v>EQC-D</v>
      </c>
      <c r="I268" s="47">
        <v>6.5000000000000002E-2</v>
      </c>
      <c r="J268" s="172" t="s">
        <v>68</v>
      </c>
      <c r="K268" s="173" t="s">
        <v>68</v>
      </c>
      <c r="L268" s="174" t="s">
        <v>68</v>
      </c>
      <c r="M268" s="175" t="s">
        <v>68</v>
      </c>
      <c r="N268" s="28" t="s">
        <v>31</v>
      </c>
      <c r="O268" s="28" t="s">
        <v>32</v>
      </c>
      <c r="P268" s="28" t="s">
        <v>32</v>
      </c>
      <c r="Q268" s="29">
        <v>0.40600000000000003</v>
      </c>
      <c r="R268" s="53">
        <v>40867</v>
      </c>
      <c r="S268" s="54" t="s">
        <v>41</v>
      </c>
      <c r="T268" s="62" t="s">
        <v>33</v>
      </c>
      <c r="U268" s="16">
        <f t="shared" ca="1" si="151"/>
        <v>-13.646575342465754</v>
      </c>
      <c r="V268" s="11" t="str">
        <v>All</v>
      </c>
      <c r="X268" t="e">
        <f t="shared" ca="1" si="140"/>
        <v>#VALUE!</v>
      </c>
      <c r="Z268" s="17">
        <f t="shared" ca="1" si="141"/>
        <v>46213</v>
      </c>
      <c r="AG268" s="33" t="e">
        <f t="shared" ca="1" si="142"/>
        <v>#VALUE!</v>
      </c>
      <c r="AH268" t="e">
        <f t="shared" ca="1" si="143"/>
        <v>#VALUE!</v>
      </c>
      <c r="AI268" t="e">
        <f t="shared" ca="1" si="144"/>
        <v>#VALUE!</v>
      </c>
      <c r="AJ268" t="e">
        <f t="shared" ca="1" si="145"/>
        <v>#VALUE!</v>
      </c>
      <c r="AK268" t="e">
        <f t="shared" ca="1" si="146"/>
        <v>#VALUE!</v>
      </c>
    </row>
    <row r="269" spans="1:37" ht="17.25" customHeight="1">
      <c r="A269" s="19"/>
      <c r="B269" s="45" t="s">
        <v>259</v>
      </c>
      <c r="C269" s="28" t="s">
        <v>27</v>
      </c>
      <c r="D269" s="28" t="s">
        <v>27</v>
      </c>
      <c r="E269" s="28" t="s">
        <v>28</v>
      </c>
      <c r="F269" s="36" t="s">
        <v>29</v>
      </c>
      <c r="G269" s="28" t="s">
        <v>30</v>
      </c>
      <c r="H269" s="23" t="str">
        <f>HYPERLINK("https://innovativeincomeinvestor.com/security/f-g-annuities-life-inc-7-95-senior-notes-due-2053/","FGN")</f>
        <v>FGN</v>
      </c>
      <c r="I269" s="47">
        <v>7.9500000000000001E-2</v>
      </c>
      <c r="J269" s="65">
        <f ca="1">IFERROR(__xludf.DUMMYFUNCTION("GoogleFinance(H269)"),26.1)</f>
        <v>26.1</v>
      </c>
      <c r="K269" s="26">
        <f ca="1">IFERROR(__xludf.DUMMYFUNCTION("GOOGLEFINANCE(H269,""change"")"),-0.13)</f>
        <v>-0.13</v>
      </c>
      <c r="L269" s="27">
        <f t="shared" ref="L269:L270" ca="1" si="152">(Q269*4)/J269</f>
        <v>7.6168582375478924E-2</v>
      </c>
      <c r="M269" s="27">
        <f t="array" aca="1" ref="M269" ca="1">L269*U269+(25-J269)/25/U269</f>
        <v>0.24887901615162134</v>
      </c>
      <c r="N269" s="28" t="s">
        <v>39</v>
      </c>
      <c r="O269" s="28" t="s">
        <v>55</v>
      </c>
      <c r="P269" s="28" t="s">
        <v>64</v>
      </c>
      <c r="Q269" s="29">
        <v>0.497</v>
      </c>
      <c r="R269" s="53">
        <v>47102</v>
      </c>
      <c r="S269" s="61">
        <v>56233</v>
      </c>
      <c r="T269" s="62" t="s">
        <v>52</v>
      </c>
      <c r="U269" s="16">
        <f t="shared" ca="1" si="151"/>
        <v>3.4356164383561643</v>
      </c>
      <c r="V269" s="11" t="str">
        <v>All</v>
      </c>
      <c r="X269">
        <f t="shared" ca="1" si="140"/>
        <v>3.4545902987891557E-2</v>
      </c>
      <c r="Z269" s="17">
        <f t="shared" ca="1" si="141"/>
        <v>46213</v>
      </c>
      <c r="AG269" s="33">
        <f t="shared" ca="1" si="142"/>
        <v>5.6089243500342313E-2</v>
      </c>
      <c r="AH269">
        <f t="shared" ca="1" si="143"/>
        <v>6.901424965370026E-2</v>
      </c>
      <c r="AI269">
        <f t="shared" ca="1" si="144"/>
        <v>7.1451397111824203E-2</v>
      </c>
      <c r="AJ269">
        <f t="shared" ca="1" si="145"/>
        <v>7.3252092135134075E-2</v>
      </c>
      <c r="AK269">
        <f t="shared" ca="1" si="146"/>
        <v>7.5225518162907984E-2</v>
      </c>
    </row>
    <row r="270" spans="1:37" ht="17.25" customHeight="1">
      <c r="A270" s="19"/>
      <c r="B270" s="45" t="s">
        <v>259</v>
      </c>
      <c r="C270" s="28" t="s">
        <v>27</v>
      </c>
      <c r="D270" s="28" t="s">
        <v>27</v>
      </c>
      <c r="E270" s="28" t="s">
        <v>28</v>
      </c>
      <c r="F270" s="36" t="s">
        <v>29</v>
      </c>
      <c r="G270" s="28" t="s">
        <v>30</v>
      </c>
      <c r="H270" s="51" t="str">
        <f>HYPERLINK("https://innovativeincomeinvestor.com/security/fg-annuities-life-inc-7-30-junior-subordinated-notes-due-2065/","FGSN")</f>
        <v>FGSN</v>
      </c>
      <c r="I270" s="47">
        <v>7.2999999999999995E-2</v>
      </c>
      <c r="J270" s="65">
        <f ca="1">IFERROR(__xludf.DUMMYFUNCTION("GoogleFinance(H270)"),24.16)</f>
        <v>24.16</v>
      </c>
      <c r="K270" s="26">
        <f ca="1">IFERROR(__xludf.DUMMYFUNCTION("GOOGLEFINANCE(H270,""change"")"),-0.24)</f>
        <v>-0.24</v>
      </c>
      <c r="L270" s="27">
        <f t="shared" ca="1" si="152"/>
        <v>7.5496688741721857E-2</v>
      </c>
      <c r="M270" s="27"/>
      <c r="N270" s="28" t="s">
        <v>31</v>
      </c>
      <c r="O270" s="28" t="s">
        <v>30</v>
      </c>
      <c r="P270" s="28" t="s">
        <v>83</v>
      </c>
      <c r="Q270" s="29">
        <v>0.45600000000000002</v>
      </c>
      <c r="R270" s="53">
        <v>47498</v>
      </c>
      <c r="S270" s="61">
        <v>60282</v>
      </c>
      <c r="T270" s="62" t="s">
        <v>74</v>
      </c>
      <c r="U270" s="16">
        <f t="shared" ca="1" si="151"/>
        <v>4.5205479452054798</v>
      </c>
      <c r="V270" s="11" t="str">
        <v>All</v>
      </c>
      <c r="X270">
        <f t="shared" ca="1" si="140"/>
        <v>0.10891799591836382</v>
      </c>
      <c r="Z270" s="17">
        <f t="shared" ca="1" si="141"/>
        <v>46213</v>
      </c>
      <c r="AG270" s="33">
        <f t="shared" ca="1" si="142"/>
        <v>9.1576478045586635E-2</v>
      </c>
      <c r="AH270">
        <f t="shared" ca="1" si="143"/>
        <v>8.1247450158668105E-2</v>
      </c>
      <c r="AI270">
        <f t="shared" ca="1" si="144"/>
        <v>7.9304215461318522E-2</v>
      </c>
      <c r="AJ270">
        <f t="shared" ca="1" si="145"/>
        <v>7.786853732211195E-2</v>
      </c>
      <c r="AK270">
        <f t="shared" ca="1" si="146"/>
        <v>7.6288910040343785E-2</v>
      </c>
    </row>
    <row r="271" spans="1:37" ht="17.25" customHeight="1">
      <c r="A271" s="19"/>
      <c r="B271" s="45" t="s">
        <v>260</v>
      </c>
      <c r="C271" s="28" t="s">
        <v>35</v>
      </c>
      <c r="D271" s="28" t="s">
        <v>35</v>
      </c>
      <c r="E271" s="28" t="s">
        <v>67</v>
      </c>
      <c r="F271" s="36" t="s">
        <v>29</v>
      </c>
      <c r="G271" s="28" t="s">
        <v>38</v>
      </c>
      <c r="H271" s="66" t="str">
        <f>HYPERLINK("https://innovativeincomeinvestor.com/security/fat-brands-inc-8-25-series-b-cumulative-preferred-stock/","FATBP")</f>
        <v>FATBP</v>
      </c>
      <c r="I271" s="47">
        <v>8.2500000000000004E-2</v>
      </c>
      <c r="J271" s="65">
        <f ca="1">IFERROR(__xludf.DUMMYFUNCTION("GoogleFinance(H271)"),2.9)</f>
        <v>2.9</v>
      </c>
      <c r="K271" s="48">
        <f ca="1">IFERROR(__xludf.DUMMYFUNCTION("googlefinance(H271,""change"")"),0.11)</f>
        <v>0.11</v>
      </c>
      <c r="L271" s="27">
        <f ca="1">(Q271*12)/J271</f>
        <v>0.71172413793103451</v>
      </c>
      <c r="M271" s="27">
        <f t="shared" ref="M271:M275" ca="1" si="153">L271*U271+(25-J271)/25/U271</f>
        <v>53.788366241536771</v>
      </c>
      <c r="N271" s="28" t="s">
        <v>31</v>
      </c>
      <c r="O271" s="27" t="s">
        <v>32</v>
      </c>
      <c r="P271" s="27" t="s">
        <v>32</v>
      </c>
      <c r="Q271" s="29">
        <v>0.17199999999999999</v>
      </c>
      <c r="R271" s="64">
        <v>45854</v>
      </c>
      <c r="S271" s="54" t="s">
        <v>41</v>
      </c>
      <c r="T271" s="62" t="s">
        <v>178</v>
      </c>
      <c r="U271" s="16">
        <f t="shared" ca="1" si="151"/>
        <v>1.643835616438356E-2</v>
      </c>
      <c r="V271" s="11" t="str">
        <v>All</v>
      </c>
      <c r="X271">
        <f t="shared" ca="1" si="140"/>
        <v>3.2445903100607638</v>
      </c>
      <c r="Z271" s="17">
        <f t="shared" ca="1" si="141"/>
        <v>46213</v>
      </c>
      <c r="AG271" s="33">
        <f t="shared" ca="1" si="142"/>
        <v>1.5985978403349617</v>
      </c>
      <c r="AH271">
        <f t="shared" ca="1" si="143"/>
        <v>0.85116710696962372</v>
      </c>
      <c r="AI271">
        <f t="shared" ca="1" si="144"/>
        <v>0.75659767239321862</v>
      </c>
      <c r="AJ271">
        <f t="shared" ca="1" si="145"/>
        <v>0.71841541000440101</v>
      </c>
      <c r="AK271">
        <f t="shared" ca="1" si="146"/>
        <v>0.71068931218360609</v>
      </c>
    </row>
    <row r="272" spans="1:37" ht="17.25" customHeight="1">
      <c r="A272" s="19"/>
      <c r="B272" s="45" t="s">
        <v>261</v>
      </c>
      <c r="C272" s="28" t="s">
        <v>27</v>
      </c>
      <c r="D272" s="28" t="s">
        <v>35</v>
      </c>
      <c r="E272" s="28" t="s">
        <v>117</v>
      </c>
      <c r="F272" s="36" t="s">
        <v>29</v>
      </c>
      <c r="G272" s="28" t="s">
        <v>38</v>
      </c>
      <c r="H272" s="66" t="str">
        <f>HYPERLINK("https://innovativeincomeinvestor.com/security/federal-agricultural-mortgage-5-70-non-cumulative-preferred-stock-series-d/","AGM-D")</f>
        <v>AGM-D</v>
      </c>
      <c r="I272" s="47">
        <v>5.7000000000000002E-2</v>
      </c>
      <c r="J272" s="65">
        <f ca="1">IFERROR(__xludf.DUMMYFUNCTION("GoogleFinance(H272)"),21.53)</f>
        <v>21.53</v>
      </c>
      <c r="K272" s="67">
        <f ca="1">IFERROR(__xludf.DUMMYFUNCTION("googlefinance(H272,""change"")"),-0.1)</f>
        <v>-0.1</v>
      </c>
      <c r="L272" s="27">
        <f t="shared" ref="L272:L275" ca="1" si="154">(Q272*4)/J272</f>
        <v>6.6186716209939614E-2</v>
      </c>
      <c r="M272" s="27">
        <f t="shared" ca="1" si="153"/>
        <v>-0.20643134840690822</v>
      </c>
      <c r="N272" s="28" t="s">
        <v>31</v>
      </c>
      <c r="O272" s="28" t="s">
        <v>32</v>
      </c>
      <c r="P272" s="28" t="s">
        <v>32</v>
      </c>
      <c r="Q272" s="29">
        <f t="shared" ref="Q272:Q273" si="155">(I272*25)/4</f>
        <v>0.35625000000000001</v>
      </c>
      <c r="R272" s="64">
        <v>45490</v>
      </c>
      <c r="S272" s="54" t="s">
        <v>41</v>
      </c>
      <c r="T272" s="62" t="s">
        <v>262</v>
      </c>
      <c r="U272" s="16">
        <f t="shared" ca="1" si="151"/>
        <v>-0.98082191780821915</v>
      </c>
      <c r="V272" s="11" t="str">
        <v>All</v>
      </c>
      <c r="X272">
        <f t="shared" ca="1" si="140"/>
        <v>0.2149330047219862</v>
      </c>
      <c r="Z272" s="17">
        <f t="shared" ca="1" si="141"/>
        <v>46213</v>
      </c>
      <c r="AG272" s="33">
        <f t="shared" ca="1" si="142"/>
        <v>0.13756342415561168</v>
      </c>
      <c r="AH272">
        <f t="shared" ca="1" si="143"/>
        <v>9.195639254529972E-2</v>
      </c>
      <c r="AI272">
        <f t="shared" ca="1" si="144"/>
        <v>8.3390936465031609E-2</v>
      </c>
      <c r="AJ272">
        <f t="shared" ca="1" si="145"/>
        <v>7.7040303824503803E-2</v>
      </c>
      <c r="AK272">
        <f t="shared" ca="1" si="146"/>
        <v>6.9945907433776613E-2</v>
      </c>
    </row>
    <row r="273" spans="1:37" ht="17.25" customHeight="1">
      <c r="A273" s="19"/>
      <c r="B273" s="45" t="s">
        <v>261</v>
      </c>
      <c r="C273" s="28" t="s">
        <v>27</v>
      </c>
      <c r="D273" s="28" t="s">
        <v>35</v>
      </c>
      <c r="E273" s="28" t="s">
        <v>117</v>
      </c>
      <c r="F273" s="36" t="s">
        <v>29</v>
      </c>
      <c r="G273" s="28" t="s">
        <v>38</v>
      </c>
      <c r="H273" s="83" t="str">
        <f>HYPERLINK("https://innovativeincomeinvestor.com/security/federal-agricultural-mortgage-corporation-5-75-non-cumulative-perpetual-series-e-preferred-stock/","AGM-E")</f>
        <v>AGM-E</v>
      </c>
      <c r="I273" s="47">
        <v>5.7500000000000002E-2</v>
      </c>
      <c r="J273" s="176">
        <f ca="1">IFERROR(__xludf.DUMMYFUNCTION("GoogleFinance(H273)"),21.37)</f>
        <v>21.37</v>
      </c>
      <c r="K273" s="177">
        <f ca="1">IFERROR(__xludf.DUMMYFUNCTION("googlefinance(H273,""change"")"),-0.08)</f>
        <v>-0.08</v>
      </c>
      <c r="L273" s="40">
        <f t="shared" ca="1" si="154"/>
        <v>6.7267197005147397E-2</v>
      </c>
      <c r="M273" s="40">
        <f t="shared" ca="1" si="153"/>
        <v>7.572432912975831</v>
      </c>
      <c r="N273" s="28" t="s">
        <v>31</v>
      </c>
      <c r="O273" s="28" t="s">
        <v>32</v>
      </c>
      <c r="P273" s="28" t="s">
        <v>32</v>
      </c>
      <c r="Q273" s="29">
        <f t="shared" si="155"/>
        <v>0.359375</v>
      </c>
      <c r="R273" s="64">
        <v>45855</v>
      </c>
      <c r="S273" s="54" t="s">
        <v>41</v>
      </c>
      <c r="T273" s="62" t="s">
        <v>262</v>
      </c>
      <c r="U273" s="16">
        <f t="shared" ca="1" si="151"/>
        <v>1.9178082191780823E-2</v>
      </c>
      <c r="V273" s="11" t="str">
        <v>All</v>
      </c>
      <c r="X273">
        <f t="shared" ca="1" si="140"/>
        <v>0.22353709117490081</v>
      </c>
      <c r="Z273" s="17">
        <f t="shared" ca="1" si="141"/>
        <v>46213</v>
      </c>
      <c r="AG273" s="33">
        <f t="shared" ca="1" si="142"/>
        <v>0.14218562557292946</v>
      </c>
      <c r="AH273">
        <f t="shared" ca="1" si="143"/>
        <v>9.4269947798408166E-2</v>
      </c>
      <c r="AI273">
        <f t="shared" ca="1" si="144"/>
        <v>8.5275695589303563E-2</v>
      </c>
      <c r="AJ273">
        <f t="shared" ca="1" si="145"/>
        <v>7.8609679252246559E-2</v>
      </c>
      <c r="AK273">
        <f t="shared" ca="1" si="146"/>
        <v>7.1171724195380037E-2</v>
      </c>
    </row>
    <row r="274" spans="1:37" ht="17.25" customHeight="1">
      <c r="A274" s="19"/>
      <c r="B274" s="45" t="s">
        <v>261</v>
      </c>
      <c r="C274" s="21" t="s">
        <v>27</v>
      </c>
      <c r="D274" s="28" t="s">
        <v>35</v>
      </c>
      <c r="E274" s="28" t="s">
        <v>117</v>
      </c>
      <c r="F274" s="36" t="s">
        <v>29</v>
      </c>
      <c r="G274" s="28" t="s">
        <v>38</v>
      </c>
      <c r="H274" s="51" t="str">
        <f>HYPERLINK("https://innovativeincomeinvestor.com/security/federal-agricultural-mortgage-corp-5-25-non-cumulative-preferred-stock-series-d/","AGM-F")</f>
        <v>AGM-F</v>
      </c>
      <c r="I274" s="47">
        <v>5.2499999999999998E-2</v>
      </c>
      <c r="J274" s="65">
        <f ca="1">IFERROR(__xludf.DUMMYFUNCTION("GoogleFinance(H274)"),19.43)</f>
        <v>19.43</v>
      </c>
      <c r="K274" s="67">
        <f ca="1">IFERROR(__xludf.DUMMYFUNCTION("googlefinance(H274,""change"")"),-0.12)</f>
        <v>-0.12</v>
      </c>
      <c r="L274" s="27">
        <f t="shared" ca="1" si="154"/>
        <v>6.793618116314977E-2</v>
      </c>
      <c r="M274" s="27">
        <f t="shared" ca="1" si="153"/>
        <v>0.83986086928407444</v>
      </c>
      <c r="N274" s="28" t="s">
        <v>31</v>
      </c>
      <c r="O274" s="28" t="s">
        <v>32</v>
      </c>
      <c r="P274" s="28" t="s">
        <v>32</v>
      </c>
      <c r="Q274" s="29">
        <v>0.33</v>
      </c>
      <c r="R274" s="64">
        <v>45947</v>
      </c>
      <c r="S274" s="54" t="s">
        <v>41</v>
      </c>
      <c r="T274" s="62" t="s">
        <v>262</v>
      </c>
      <c r="U274" s="16">
        <f t="shared" ca="1" si="151"/>
        <v>0.27123287671232876</v>
      </c>
      <c r="V274" s="11" t="str">
        <v>All</v>
      </c>
      <c r="X274">
        <f t="shared" ca="1" si="140"/>
        <v>0.32184867775983755</v>
      </c>
      <c r="Z274" s="17">
        <f t="shared" ca="1" si="141"/>
        <v>46213</v>
      </c>
      <c r="AG274" s="33">
        <f t="shared" ca="1" si="142"/>
        <v>0.18883665297506821</v>
      </c>
      <c r="AH274">
        <f t="shared" ca="1" si="143"/>
        <v>0.11121718330157956</v>
      </c>
      <c r="AI274">
        <f t="shared" ca="1" si="144"/>
        <v>9.6700133564738958E-2</v>
      </c>
      <c r="AJ274">
        <f t="shared" ca="1" si="145"/>
        <v>8.5944942599521526E-2</v>
      </c>
      <c r="AK274">
        <f t="shared" ca="1" si="146"/>
        <v>7.3926386599867555E-2</v>
      </c>
    </row>
    <row r="275" spans="1:37" ht="17.25" customHeight="1">
      <c r="A275" s="19"/>
      <c r="B275" s="45" t="s">
        <v>261</v>
      </c>
      <c r="C275" s="21" t="s">
        <v>27</v>
      </c>
      <c r="D275" s="28" t="s">
        <v>35</v>
      </c>
      <c r="E275" s="28" t="s">
        <v>117</v>
      </c>
      <c r="F275" s="36" t="s">
        <v>29</v>
      </c>
      <c r="G275" s="28" t="s">
        <v>38</v>
      </c>
      <c r="H275" s="46" t="str">
        <f>HYPERLINK("https://innovativeincomeinvestor.com/security/federal-agricultural-mortgage-corporation-4-875-non-cumulative-perpetual-series-g-preferred-stock/","AGM-G")</f>
        <v>AGM-G</v>
      </c>
      <c r="I275" s="47">
        <v>4.8750000000000002E-2</v>
      </c>
      <c r="J275" s="65">
        <f ca="1">IFERROR(__xludf.DUMMYFUNCTION("GoogleFinance(H275)"),18.15)</f>
        <v>18.149999999999999</v>
      </c>
      <c r="K275" s="67">
        <f ca="1">IFERROR(__xludf.DUMMYFUNCTION("googlefinance(H275,""change"")"),-0.16)</f>
        <v>-0.16</v>
      </c>
      <c r="L275" s="27">
        <f t="shared" ca="1" si="154"/>
        <v>6.6115702479338845E-2</v>
      </c>
      <c r="M275" s="27">
        <f t="shared" ca="1" si="153"/>
        <v>0.33622776087716039</v>
      </c>
      <c r="N275" s="28" t="s">
        <v>31</v>
      </c>
      <c r="O275" s="28" t="s">
        <v>32</v>
      </c>
      <c r="P275" s="28" t="s">
        <v>32</v>
      </c>
      <c r="Q275" s="29">
        <v>0.3</v>
      </c>
      <c r="R275" s="64">
        <v>46220</v>
      </c>
      <c r="S275" s="54" t="s">
        <v>41</v>
      </c>
      <c r="T275" s="62" t="s">
        <v>262</v>
      </c>
      <c r="U275" s="16">
        <f t="shared" ca="1" si="151"/>
        <v>1.0191780821917809</v>
      </c>
      <c r="V275" s="11" t="str">
        <v>All</v>
      </c>
      <c r="X275">
        <f t="shared" ca="1" si="140"/>
        <v>0.3932423914909593</v>
      </c>
      <c r="Z275" s="17">
        <f t="shared" ca="1" si="141"/>
        <v>46213</v>
      </c>
      <c r="AG275" s="33">
        <f t="shared" ca="1" si="142"/>
        <v>0.22213925581220723</v>
      </c>
      <c r="AH275">
        <f t="shared" ca="1" si="143"/>
        <v>0.12295132186223541</v>
      </c>
      <c r="AI275">
        <f t="shared" ca="1" si="144"/>
        <v>0.10444691524391662</v>
      </c>
      <c r="AJ275">
        <f t="shared" ca="1" si="145"/>
        <v>9.0739409044381866E-2</v>
      </c>
      <c r="AK275">
        <f t="shared" ca="1" si="146"/>
        <v>7.5396420958073349E-2</v>
      </c>
    </row>
    <row r="276" spans="1:37" ht="17.25" customHeight="1">
      <c r="A276" s="19"/>
      <c r="B276" s="84" t="s">
        <v>261</v>
      </c>
      <c r="C276" s="21" t="s">
        <v>27</v>
      </c>
      <c r="D276" s="28" t="s">
        <v>35</v>
      </c>
      <c r="E276" s="28" t="s">
        <v>117</v>
      </c>
      <c r="F276" s="28" t="s">
        <v>46</v>
      </c>
      <c r="G276" s="28" t="s">
        <v>38</v>
      </c>
      <c r="H276" s="51" t="str">
        <f>HYPERLINK("https://innovativeincomeinvestor.com/security/federal-agriculture-mortgage-corp-6-00-fixedfloat-non-cumul-pfd-stock-series-c/","AGM-C")</f>
        <v>AGM-C</v>
      </c>
      <c r="I276" s="47">
        <v>0.06</v>
      </c>
      <c r="J276" s="79" t="s">
        <v>68</v>
      </c>
      <c r="K276" s="169" t="s">
        <v>68</v>
      </c>
      <c r="L276" s="88" t="s">
        <v>68</v>
      </c>
      <c r="M276" s="178" t="s">
        <v>68</v>
      </c>
      <c r="N276" s="28" t="s">
        <v>31</v>
      </c>
      <c r="O276" s="28" t="s">
        <v>32</v>
      </c>
      <c r="P276" s="28" t="s">
        <v>32</v>
      </c>
      <c r="Q276" s="29">
        <f t="shared" ref="Q276:Q277" si="156">(I276*25)/4</f>
        <v>0.375</v>
      </c>
      <c r="R276" s="64">
        <v>45491</v>
      </c>
      <c r="S276" s="54" t="s">
        <v>41</v>
      </c>
      <c r="T276" s="62" t="s">
        <v>262</v>
      </c>
      <c r="U276" s="16">
        <f t="shared" ca="1" si="151"/>
        <v>-0.9780821917808219</v>
      </c>
      <c r="V276" s="11" t="str">
        <v>All</v>
      </c>
      <c r="X276" t="e">
        <f t="shared" ca="1" si="140"/>
        <v>#VALUE!</v>
      </c>
      <c r="Z276" s="17">
        <f t="shared" ca="1" si="141"/>
        <v>46213</v>
      </c>
      <c r="AG276" s="33" t="e">
        <f t="shared" ca="1" si="142"/>
        <v>#VALUE!</v>
      </c>
      <c r="AH276" t="e">
        <f t="shared" ca="1" si="143"/>
        <v>#VALUE!</v>
      </c>
      <c r="AI276" t="e">
        <f t="shared" ca="1" si="144"/>
        <v>#VALUE!</v>
      </c>
      <c r="AJ276" t="e">
        <f t="shared" ca="1" si="145"/>
        <v>#VALUE!</v>
      </c>
      <c r="AK276" t="e">
        <f t="shared" ca="1" si="146"/>
        <v>#VALUE!</v>
      </c>
    </row>
    <row r="277" spans="1:37" ht="17.25" customHeight="1">
      <c r="A277" s="19"/>
      <c r="B277" s="45" t="s">
        <v>263</v>
      </c>
      <c r="C277" s="21" t="s">
        <v>35</v>
      </c>
      <c r="D277" s="28" t="s">
        <v>27</v>
      </c>
      <c r="E277" s="28" t="s">
        <v>63</v>
      </c>
      <c r="F277" s="36" t="s">
        <v>29</v>
      </c>
      <c r="G277" s="28" t="s">
        <v>38</v>
      </c>
      <c r="H277" s="51" t="str">
        <f>HYPERLINK("https://innovativeincomeinvestor.com/security/federal-realty-investment-trust-5-series-c-cumulative-redeemable-preferred-shares/","FRT-C")</f>
        <v>FRT-C</v>
      </c>
      <c r="I277" s="47">
        <v>0.05</v>
      </c>
      <c r="J277" s="25">
        <f ca="1">IFERROR(__xludf.DUMMYFUNCTION("GoogleFinance(H277)"),20.3)</f>
        <v>20.3</v>
      </c>
      <c r="K277" s="65">
        <f ca="1">IFERROR(__xludf.DUMMYFUNCTION("googlefinance(H277,""change"")"),0.05)</f>
        <v>0.05</v>
      </c>
      <c r="L277" s="27">
        <f t="shared" ref="L277:L279" ca="1" si="157">(Q277*4)/J277</f>
        <v>6.1576354679802957E-2</v>
      </c>
      <c r="M277" s="27">
        <f t="shared" ref="M277:M278" ca="1" si="158">(25-J277)/25</f>
        <v>0.18799999999999997</v>
      </c>
      <c r="N277" s="28" t="s">
        <v>39</v>
      </c>
      <c r="O277" s="28" t="s">
        <v>50</v>
      </c>
      <c r="P277" s="28" t="s">
        <v>51</v>
      </c>
      <c r="Q277" s="29">
        <f t="shared" si="156"/>
        <v>0.3125</v>
      </c>
      <c r="R277" s="64">
        <v>44833</v>
      </c>
      <c r="S277" s="54" t="s">
        <v>41</v>
      </c>
      <c r="T277" s="62" t="s">
        <v>60</v>
      </c>
      <c r="U277" s="16">
        <f t="shared" ca="1" si="151"/>
        <v>-2.7808219178082192</v>
      </c>
      <c r="V277" s="11" t="str">
        <v>All</v>
      </c>
      <c r="X277">
        <f t="shared" ca="1" si="140"/>
        <v>0.27086847919905821</v>
      </c>
      <c r="Z277" s="17">
        <f t="shared" ca="1" si="141"/>
        <v>46213</v>
      </c>
      <c r="AG277" s="33">
        <f t="shared" ca="1" si="142"/>
        <v>0.16191368788084473</v>
      </c>
      <c r="AH277">
        <f t="shared" ca="1" si="143"/>
        <v>9.8035452691973557E-2</v>
      </c>
      <c r="AI277">
        <f t="shared" ca="1" si="144"/>
        <v>8.6053158220952983E-2</v>
      </c>
      <c r="AJ277">
        <f t="shared" ca="1" si="145"/>
        <v>7.715824544868316E-2</v>
      </c>
      <c r="AK277">
        <f t="shared" ca="1" si="146"/>
        <v>6.7158505574418048E-2</v>
      </c>
    </row>
    <row r="278" spans="1:37" ht="17.25" customHeight="1">
      <c r="A278" s="19"/>
      <c r="B278" s="179" t="s">
        <v>264</v>
      </c>
      <c r="C278" s="28" t="s">
        <v>35</v>
      </c>
      <c r="D278" s="28" t="s">
        <v>35</v>
      </c>
      <c r="E278" s="28" t="s">
        <v>28</v>
      </c>
      <c r="F278" s="36" t="s">
        <v>29</v>
      </c>
      <c r="G278" s="28" t="s">
        <v>38</v>
      </c>
      <c r="H278" s="66" t="str">
        <f>HYPERLINK("https://innovativeincomeinvestor.com/security/1347-property-insurance-holdings-8/","FGFPP")</f>
        <v>FGFPP</v>
      </c>
      <c r="I278" s="47">
        <v>0.08</v>
      </c>
      <c r="J278" s="25">
        <f ca="1">IFERROR(__xludf.DUMMYFUNCTION("GoogleFinance(H278)"),16.63)</f>
        <v>16.63</v>
      </c>
      <c r="K278" s="48">
        <f ca="1">IFERROR(__xludf.DUMMYFUNCTION("googlefinance(H278,""change"")"),-0.41)</f>
        <v>-0.41</v>
      </c>
      <c r="L278" s="27">
        <f t="shared" ca="1" si="157"/>
        <v>0.12026458208057728</v>
      </c>
      <c r="M278" s="27">
        <f t="shared" ca="1" si="158"/>
        <v>0.33480000000000004</v>
      </c>
      <c r="N278" s="28" t="s">
        <v>31</v>
      </c>
      <c r="O278" s="28" t="s">
        <v>32</v>
      </c>
      <c r="P278" s="28" t="s">
        <v>32</v>
      </c>
      <c r="Q278" s="29">
        <v>0.5</v>
      </c>
      <c r="R278" s="64">
        <v>44985</v>
      </c>
      <c r="S278" s="54" t="s">
        <v>41</v>
      </c>
      <c r="T278" s="62" t="s">
        <v>52</v>
      </c>
      <c r="U278" s="16">
        <f t="shared" ca="1" si="151"/>
        <v>-2.3643835616438356</v>
      </c>
      <c r="V278" s="11" t="str">
        <v>All</v>
      </c>
      <c r="X278">
        <f t="shared" ca="1" si="140"/>
        <v>0.5333593985160292</v>
      </c>
      <c r="Z278" s="17">
        <f t="shared" ca="1" si="141"/>
        <v>46213</v>
      </c>
      <c r="AG278" s="33">
        <f t="shared" ca="1" si="142"/>
        <v>0.31106996235993517</v>
      </c>
      <c r="AH278">
        <f t="shared" ca="1" si="143"/>
        <v>0.18384619641347497</v>
      </c>
      <c r="AI278">
        <f t="shared" ca="1" si="144"/>
        <v>0.16052377143959592</v>
      </c>
      <c r="AJ278">
        <f t="shared" ca="1" si="145"/>
        <v>0.14360536947683444</v>
      </c>
      <c r="AK278">
        <f t="shared" ca="1" si="146"/>
        <v>0.126056775402383</v>
      </c>
    </row>
    <row r="279" spans="1:37" ht="17.25" customHeight="1">
      <c r="A279" s="19"/>
      <c r="B279" s="45" t="s">
        <v>265</v>
      </c>
      <c r="C279" s="28" t="s">
        <v>27</v>
      </c>
      <c r="D279" s="28" t="s">
        <v>35</v>
      </c>
      <c r="E279" s="28" t="s">
        <v>110</v>
      </c>
      <c r="F279" s="36" t="s">
        <v>29</v>
      </c>
      <c r="G279" s="28" t="s">
        <v>38</v>
      </c>
      <c r="H279" s="66" t="str">
        <f>HYPERLINK("https://innovativeincomeinvestor.com/security/fifth-third-bancorp-6-625-dep-shares-fixedfloat-non-cumul-pfd-stock-series-i/","FITBI")</f>
        <v>FITBI</v>
      </c>
      <c r="I279" s="85">
        <v>6.6250000000000003E-2</v>
      </c>
      <c r="J279" s="65">
        <f ca="1">IFERROR(__xludf.DUMMYFUNCTION("GoogleFinance(H279)"),25.32)</f>
        <v>25.32</v>
      </c>
      <c r="K279" s="67">
        <f ca="1">IFERROR(__xludf.DUMMYFUNCTION("googlefinance(H279,""change"")"),0.03)</f>
        <v>0.03</v>
      </c>
      <c r="L279" s="27">
        <f t="shared" ca="1" si="157"/>
        <v>6.5412717219589259E-2</v>
      </c>
      <c r="M279" s="27">
        <f t="array" aca="1" ref="M279" ca="1">L279*U279+(25-J279)/25/U279</f>
        <v>-9.1433806864859926E-2</v>
      </c>
      <c r="N279" s="28" t="s">
        <v>39</v>
      </c>
      <c r="O279" s="28" t="s">
        <v>69</v>
      </c>
      <c r="P279" s="28" t="s">
        <v>64</v>
      </c>
      <c r="Q279" s="29">
        <f>(I279*25)/4</f>
        <v>0.4140625</v>
      </c>
      <c r="R279" s="53">
        <v>45291</v>
      </c>
      <c r="S279" s="54" t="s">
        <v>41</v>
      </c>
      <c r="T279" s="50" t="s">
        <v>42</v>
      </c>
      <c r="U279" s="16">
        <f t="shared" ca="1" si="151"/>
        <v>-1.526027397260274</v>
      </c>
      <c r="V279" s="11" t="str">
        <v>All</v>
      </c>
      <c r="X279">
        <f t="shared" ca="1" si="140"/>
        <v>5.3023022983224574E-2</v>
      </c>
      <c r="Z279" s="17">
        <f t="shared" ca="1" si="141"/>
        <v>46213</v>
      </c>
      <c r="AG279" s="33">
        <f t="shared" ca="1" si="142"/>
        <v>5.9414856024451387E-2</v>
      </c>
      <c r="AH279">
        <f t="shared" ca="1" si="143"/>
        <v>6.3242178868344753E-2</v>
      </c>
      <c r="AI279">
        <f t="shared" ca="1" si="144"/>
        <v>6.3965310885997398E-2</v>
      </c>
      <c r="AJ279">
        <f t="shared" ca="1" si="145"/>
        <v>6.4502081297741903E-2</v>
      </c>
      <c r="AK279">
        <f t="shared" ca="1" si="146"/>
        <v>6.5099862972489653E-2</v>
      </c>
    </row>
    <row r="280" spans="1:37" ht="17.25" customHeight="1">
      <c r="A280" s="68"/>
      <c r="B280" s="69" t="s">
        <v>265</v>
      </c>
      <c r="C280" s="36" t="s">
        <v>27</v>
      </c>
      <c r="D280" s="36" t="s">
        <v>35</v>
      </c>
      <c r="E280" s="36" t="s">
        <v>110</v>
      </c>
      <c r="F280" s="36" t="s">
        <v>29</v>
      </c>
      <c r="G280" s="28" t="s">
        <v>38</v>
      </c>
      <c r="H280" s="66" t="str">
        <f>HYPERLINK("https://innovativeincomeinvestor.com/security/mb-financial-6-00-non-cumulative-perpetual-preferred-stock-series-c/","FITBP")</f>
        <v>FITBP</v>
      </c>
      <c r="I280" s="47">
        <v>0.06</v>
      </c>
      <c r="J280" s="26">
        <f ca="1">IFERROR(__xludf.DUMMYFUNCTION("GOOGLEFINANCE(H280)"),24.36)</f>
        <v>24.36</v>
      </c>
      <c r="K280" s="26">
        <f ca="1">IFERROR(__xludf.DUMMYFUNCTION("GOOGLEFINANCE(H280,""change"")"),-0.16)</f>
        <v>-0.16</v>
      </c>
      <c r="L280" s="27">
        <f t="shared" ref="L280:L281" ca="1" si="159">Q280*4/J280</f>
        <v>6.1576354679802957E-2</v>
      </c>
      <c r="M280" s="27">
        <f ca="1">(25-J280)/25</f>
        <v>2.5600000000000022E-2</v>
      </c>
      <c r="N280" s="28" t="s">
        <v>39</v>
      </c>
      <c r="O280" s="28" t="s">
        <v>69</v>
      </c>
      <c r="P280" s="28" t="s">
        <v>64</v>
      </c>
      <c r="Q280" s="29">
        <v>0.375</v>
      </c>
      <c r="R280" s="180">
        <v>44890</v>
      </c>
      <c r="S280" s="28" t="s">
        <v>41</v>
      </c>
      <c r="T280" s="62" t="s">
        <v>266</v>
      </c>
      <c r="U280" s="16">
        <f t="shared" ca="1" si="151"/>
        <v>-2.6246575342465754</v>
      </c>
      <c r="V280" s="11" t="str">
        <v>All</v>
      </c>
      <c r="X280">
        <f t="shared" ca="1" si="140"/>
        <v>8.7007089620025777E-2</v>
      </c>
      <c r="Z280" s="17">
        <f t="shared" ca="1" si="141"/>
        <v>46213</v>
      </c>
      <c r="AG280" s="33">
        <f t="shared" ca="1" si="142"/>
        <v>7.3886679563875568E-2</v>
      </c>
      <c r="AH280">
        <f t="shared" ca="1" si="143"/>
        <v>6.6056287337760158E-2</v>
      </c>
      <c r="AI280">
        <f t="shared" ca="1" si="144"/>
        <v>6.4577158540456828E-2</v>
      </c>
      <c r="AJ280">
        <f t="shared" ca="1" si="145"/>
        <v>6.3478555059378439E-2</v>
      </c>
      <c r="AK280">
        <f t="shared" ca="1" si="146"/>
        <v>6.2246973864424265E-2</v>
      </c>
    </row>
    <row r="281" spans="1:37" ht="17.25" customHeight="1">
      <c r="A281" s="19"/>
      <c r="B281" s="100" t="s">
        <v>265</v>
      </c>
      <c r="C281" s="36" t="s">
        <v>27</v>
      </c>
      <c r="D281" s="28" t="s">
        <v>35</v>
      </c>
      <c r="E281" s="28" t="s">
        <v>110</v>
      </c>
      <c r="F281" s="36" t="s">
        <v>29</v>
      </c>
      <c r="G281" s="28" t="s">
        <v>38</v>
      </c>
      <c r="H281" s="23" t="str">
        <f>HYPERLINK("https://innovativeincomeinvestor.com/security/fifth-third-bancorp-4-95-series-k-preferred-stock/","FITBO")</f>
        <v>FITBO</v>
      </c>
      <c r="I281" s="73">
        <v>4.9500000000000002E-2</v>
      </c>
      <c r="J281" s="112">
        <f ca="1">IFERROR(__xludf.DUMMYFUNCTION("GOOGLEFINANCE(H281)"),19.95)</f>
        <v>19.95</v>
      </c>
      <c r="K281" s="57">
        <f ca="1">IFERROR(__xludf.DUMMYFUNCTION("GOOGLEFINANCE(H281,""change"")"),-0.16)</f>
        <v>-0.16</v>
      </c>
      <c r="L281" s="58">
        <f t="shared" ca="1" si="159"/>
        <v>6.1954887218045117E-2</v>
      </c>
      <c r="M281" s="27">
        <f t="shared" ref="M281:M288" ca="1" si="160">L281*U281+(25-J281)/25/U281</f>
        <v>-0.3085662903568035</v>
      </c>
      <c r="N281" s="28" t="s">
        <v>39</v>
      </c>
      <c r="O281" s="28" t="s">
        <v>69</v>
      </c>
      <c r="P281" s="28" t="s">
        <v>64</v>
      </c>
      <c r="Q281" s="60">
        <v>0.309</v>
      </c>
      <c r="R281" s="181">
        <v>45565</v>
      </c>
      <c r="S281" s="74" t="s">
        <v>41</v>
      </c>
      <c r="T281" s="78" t="s">
        <v>42</v>
      </c>
      <c r="U281" s="16">
        <f t="shared" ca="1" si="151"/>
        <v>-0.77534246575342469</v>
      </c>
      <c r="V281" s="11" t="str">
        <v>All</v>
      </c>
      <c r="X281">
        <f t="shared" ca="1" si="140"/>
        <v>0.28929721592333058</v>
      </c>
      <c r="Z281" s="17">
        <f t="shared" ca="1" si="141"/>
        <v>46213</v>
      </c>
      <c r="AG281" s="33">
        <f t="shared" ca="1" si="142"/>
        <v>0.17085950055851798</v>
      </c>
      <c r="AH281">
        <f t="shared" ca="1" si="143"/>
        <v>0.10154159254743082</v>
      </c>
      <c r="AI281">
        <f t="shared" ca="1" si="144"/>
        <v>8.8548885659004442E-2</v>
      </c>
      <c r="AJ281">
        <f t="shared" ca="1" si="145"/>
        <v>7.8905942105814114E-2</v>
      </c>
      <c r="AK281">
        <f t="shared" ca="1" si="146"/>
        <v>6.8067844701855576E-2</v>
      </c>
    </row>
    <row r="282" spans="1:37" ht="17.25" customHeight="1">
      <c r="A282" s="19"/>
      <c r="B282" s="100" t="s">
        <v>267</v>
      </c>
      <c r="C282" s="28" t="s">
        <v>27</v>
      </c>
      <c r="D282" s="28" t="s">
        <v>35</v>
      </c>
      <c r="E282" s="28" t="s">
        <v>110</v>
      </c>
      <c r="F282" s="36" t="s">
        <v>29</v>
      </c>
      <c r="G282" s="28" t="s">
        <v>38</v>
      </c>
      <c r="H282" s="23" t="str">
        <f>HYPERLINK("https://innovativeincomeinvestor.com/security/first-citizens-bancshares-5-375-non-cumulative-perpetual-preferred-stock-series-a/","FCNCP")</f>
        <v>FCNCP</v>
      </c>
      <c r="I282" s="73">
        <v>5.3749999999999999E-2</v>
      </c>
      <c r="J282" s="74">
        <f ca="1">IFERROR(__xludf.DUMMYFUNCTION("GoogleFinance(H282)"),21.34)</f>
        <v>21.34</v>
      </c>
      <c r="K282" s="74">
        <f ca="1">IFERROR(__xludf.DUMMYFUNCTION("googlefinance(H282,""change"")"),-0.07)</f>
        <v>-7.0000000000000007E-2</v>
      </c>
      <c r="L282" s="75">
        <f t="shared" ref="L282:L288" ca="1" si="161">(Q282*4)/J282</f>
        <v>6.3730084348641053E-2</v>
      </c>
      <c r="M282" s="27">
        <f t="shared" ca="1" si="160"/>
        <v>-0.47714649630367745</v>
      </c>
      <c r="N282" s="28" t="s">
        <v>31</v>
      </c>
      <c r="O282" s="28" t="s">
        <v>30</v>
      </c>
      <c r="P282" s="28" t="s">
        <v>83</v>
      </c>
      <c r="Q282" s="29">
        <v>0.34</v>
      </c>
      <c r="R282" s="77">
        <v>45731</v>
      </c>
      <c r="S282" s="74" t="s">
        <v>41</v>
      </c>
      <c r="T282" s="78" t="s">
        <v>52</v>
      </c>
      <c r="U282" s="16">
        <f t="shared" ca="1" si="151"/>
        <v>-0.32054794520547947</v>
      </c>
      <c r="V282" s="11" t="str">
        <v>All</v>
      </c>
      <c r="X282">
        <f t="shared" ca="1" si="140"/>
        <v>0.22090570259178899</v>
      </c>
      <c r="Z282" s="17">
        <f t="shared" ca="1" si="141"/>
        <v>46213</v>
      </c>
      <c r="AG282" s="33">
        <f t="shared" ca="1" si="142"/>
        <v>0.138837854802836</v>
      </c>
      <c r="AH282">
        <f t="shared" ca="1" si="143"/>
        <v>9.0492071201329807E-2</v>
      </c>
      <c r="AI282">
        <f t="shared" ca="1" si="144"/>
        <v>8.1408642973316112E-2</v>
      </c>
      <c r="AJ282">
        <f t="shared" ca="1" si="145"/>
        <v>7.4667154028629168E-2</v>
      </c>
      <c r="AK282">
        <f t="shared" ca="1" si="146"/>
        <v>6.7106098745713161E-2</v>
      </c>
    </row>
    <row r="283" spans="1:37" ht="17.25" customHeight="1">
      <c r="A283" s="68"/>
      <c r="B283" s="69" t="s">
        <v>267</v>
      </c>
      <c r="C283" s="28" t="s">
        <v>27</v>
      </c>
      <c r="D283" s="28" t="s">
        <v>35</v>
      </c>
      <c r="E283" s="28" t="s">
        <v>110</v>
      </c>
      <c r="F283" s="28" t="s">
        <v>29</v>
      </c>
      <c r="G283" s="28" t="s">
        <v>38</v>
      </c>
      <c r="H283" s="51" t="str">
        <f>HYPERLINK("https://innovativeincomeinvestor.com/security/cit-group-inc-5-625-non-cumulative-perpetual-preferred-stock-series-b/","FCNCO")</f>
        <v>FCNCO</v>
      </c>
      <c r="I283" s="47">
        <v>5.6250000000000001E-2</v>
      </c>
      <c r="J283" s="74">
        <f ca="1">IFERROR(__xludf.DUMMYFUNCTION("GoogleFinance(H283)"),22.95)</f>
        <v>22.95</v>
      </c>
      <c r="K283" s="74">
        <f ca="1">IFERROR(__xludf.DUMMYFUNCTION("googlefinance(H283,""change"")"),-0.08)</f>
        <v>-0.08</v>
      </c>
      <c r="L283" s="75">
        <f t="shared" ca="1" si="161"/>
        <v>5.9259259259259268E-2</v>
      </c>
      <c r="M283" s="27">
        <f t="shared" ca="1" si="160"/>
        <v>-0.17819667791674945</v>
      </c>
      <c r="N283" s="28" t="s">
        <v>31</v>
      </c>
      <c r="O283" s="28" t="s">
        <v>30</v>
      </c>
      <c r="P283" s="28" t="s">
        <v>83</v>
      </c>
      <c r="Q283" s="29">
        <v>0.34</v>
      </c>
      <c r="R283" s="77">
        <v>45641</v>
      </c>
      <c r="S283" s="74" t="s">
        <v>41</v>
      </c>
      <c r="T283" s="62" t="s">
        <v>52</v>
      </c>
      <c r="U283" s="16">
        <f t="shared" ca="1" si="151"/>
        <v>-0.56712328767123288</v>
      </c>
      <c r="V283" s="11" t="str">
        <v>All</v>
      </c>
      <c r="X283">
        <f t="shared" ca="1" si="140"/>
        <v>0.14585909608916767</v>
      </c>
      <c r="Z283" s="17">
        <f t="shared" ca="1" si="141"/>
        <v>46213</v>
      </c>
      <c r="AG283" s="33">
        <f t="shared" ca="1" si="142"/>
        <v>0.10209763267356817</v>
      </c>
      <c r="AH283">
        <f t="shared" ca="1" si="143"/>
        <v>7.6131414810434977E-2</v>
      </c>
      <c r="AI283">
        <f t="shared" ca="1" si="144"/>
        <v>7.1237361871022892E-2</v>
      </c>
      <c r="AJ283">
        <f t="shared" ca="1" si="145"/>
        <v>6.7602248874007578E-2</v>
      </c>
      <c r="AK283">
        <f t="shared" ca="1" si="146"/>
        <v>6.3522042712325852E-2</v>
      </c>
    </row>
    <row r="284" spans="1:37" ht="17.25" customHeight="1">
      <c r="A284" s="68"/>
      <c r="B284" s="69" t="s">
        <v>268</v>
      </c>
      <c r="C284" s="28" t="s">
        <v>27</v>
      </c>
      <c r="D284" s="28" t="s">
        <v>27</v>
      </c>
      <c r="E284" s="28" t="s">
        <v>171</v>
      </c>
      <c r="F284" s="28" t="s">
        <v>29</v>
      </c>
      <c r="G284" s="28" t="s">
        <v>30</v>
      </c>
      <c r="H284" s="46" t="str">
        <f>HYPERLINK("https://innovativeincomeinvestor.com/security/first-eagle-alternative-capital-bdc-inc-5-00-notes-due-2026/","FCRX")</f>
        <v>FCRX</v>
      </c>
      <c r="I284" s="47">
        <v>0.05</v>
      </c>
      <c r="J284" s="26">
        <f ca="1">IFERROR(__xludf.DUMMYFUNCTION("GOOGLEFINANCE(H284)"),24.66)</f>
        <v>24.66</v>
      </c>
      <c r="K284" s="26">
        <f ca="1">IFERROR(__xludf.DUMMYFUNCTION("GOOGLEFINANCE(H284,""change"")"),-0.01)</f>
        <v>-0.01</v>
      </c>
      <c r="L284" s="27">
        <f t="shared" ca="1" si="161"/>
        <v>5.0689375506893758E-2</v>
      </c>
      <c r="M284" s="27">
        <f t="shared" ca="1" si="160"/>
        <v>-0.11429455046773314</v>
      </c>
      <c r="N284" s="28" t="s">
        <v>31</v>
      </c>
      <c r="O284" s="27" t="s">
        <v>32</v>
      </c>
      <c r="P284" s="28" t="s">
        <v>32</v>
      </c>
      <c r="Q284" s="29">
        <v>0.3125</v>
      </c>
      <c r="R284" s="77">
        <v>45071</v>
      </c>
      <c r="S284" s="158">
        <v>46167</v>
      </c>
      <c r="T284" s="62" t="s">
        <v>56</v>
      </c>
      <c r="U284" s="16">
        <f t="shared" ca="1" si="151"/>
        <v>-2.128767123287671</v>
      </c>
      <c r="V284" s="11" t="str">
        <v>All</v>
      </c>
      <c r="X284">
        <f t="shared" ca="1" si="140"/>
        <v>6.4149609046101772E-2</v>
      </c>
      <c r="Z284" s="17">
        <f t="shared" ca="1" si="141"/>
        <v>46213</v>
      </c>
      <c r="AG284" s="33">
        <f t="shared" ca="1" si="142"/>
        <v>5.7245184074573671E-2</v>
      </c>
      <c r="AH284">
        <f t="shared" ca="1" si="143"/>
        <v>5.3116381296975795E-2</v>
      </c>
      <c r="AI284">
        <f t="shared" ca="1" si="144"/>
        <v>5.2334185562835436E-2</v>
      </c>
      <c r="AJ284">
        <f t="shared" ca="1" si="145"/>
        <v>5.1751233293983769E-2</v>
      </c>
      <c r="AK284">
        <f t="shared" ca="1" si="146"/>
        <v>5.108964978104516E-2</v>
      </c>
    </row>
    <row r="285" spans="1:37" ht="17.25" customHeight="1">
      <c r="A285" s="68"/>
      <c r="B285" s="69" t="s">
        <v>269</v>
      </c>
      <c r="C285" s="28" t="s">
        <v>27</v>
      </c>
      <c r="D285" s="28" t="s">
        <v>35</v>
      </c>
      <c r="E285" s="28" t="s">
        <v>110</v>
      </c>
      <c r="F285" s="28" t="s">
        <v>29</v>
      </c>
      <c r="G285" s="28" t="s">
        <v>38</v>
      </c>
      <c r="H285" s="46" t="str">
        <f>HYPERLINK("https://innovativeincomeinvestor.com/security/first-guaranty-bancshares-inc-6-75-series-fixed-rated-non-cumulative-perpetual-preferred-stock/","FGBIP")</f>
        <v>FGBIP</v>
      </c>
      <c r="I285" s="47">
        <v>6.7500000000000004E-2</v>
      </c>
      <c r="J285" s="74">
        <f ca="1">IFERROR(__xludf.DUMMYFUNCTION("GoogleFinance(H285)"),18.61)</f>
        <v>18.61</v>
      </c>
      <c r="K285" s="74">
        <f ca="1">IFERROR(__xludf.DUMMYFUNCTION("googlefinance(H285,""change"")"),0.11)</f>
        <v>0.11</v>
      </c>
      <c r="L285" s="75">
        <f t="shared" ca="1" si="161"/>
        <v>9.0682428801719506E-2</v>
      </c>
      <c r="M285" s="27">
        <f t="shared" ca="1" si="160"/>
        <v>0.39725807018167886</v>
      </c>
      <c r="N285" s="28" t="s">
        <v>31</v>
      </c>
      <c r="O285" s="28" t="s">
        <v>32</v>
      </c>
      <c r="P285" s="28" t="s">
        <v>32</v>
      </c>
      <c r="Q285" s="29">
        <v>0.4219</v>
      </c>
      <c r="R285" s="77">
        <v>46134</v>
      </c>
      <c r="S285" s="74" t="s">
        <v>41</v>
      </c>
      <c r="T285" s="78" t="s">
        <v>81</v>
      </c>
      <c r="U285" s="16">
        <f t="shared" ca="1" si="151"/>
        <v>0.78356164383561644</v>
      </c>
      <c r="V285" s="11" t="str">
        <v>All</v>
      </c>
      <c r="X285">
        <f t="shared" ca="1" si="140"/>
        <v>0.38793367286978048</v>
      </c>
      <c r="Z285" s="17">
        <f t="shared" ca="1" si="141"/>
        <v>46213</v>
      </c>
      <c r="AG285" s="33">
        <f t="shared" ca="1" si="142"/>
        <v>0.23061811880479047</v>
      </c>
      <c r="AH285">
        <f t="shared" ca="1" si="143"/>
        <v>0.13935996947591842</v>
      </c>
      <c r="AI285">
        <f t="shared" ca="1" si="144"/>
        <v>0.12241686435728268</v>
      </c>
      <c r="AJ285">
        <f t="shared" ca="1" si="145"/>
        <v>0.10996856095502706</v>
      </c>
      <c r="AK285">
        <f t="shared" ca="1" si="146"/>
        <v>9.6466094522368873E-2</v>
      </c>
    </row>
    <row r="286" spans="1:37" ht="17.25" customHeight="1">
      <c r="A286" s="68"/>
      <c r="B286" s="69" t="s">
        <v>270</v>
      </c>
      <c r="C286" s="36" t="s">
        <v>27</v>
      </c>
      <c r="D286" s="28" t="s">
        <v>35</v>
      </c>
      <c r="E286" s="28" t="s">
        <v>110</v>
      </c>
      <c r="F286" s="28" t="s">
        <v>29</v>
      </c>
      <c r="G286" s="28" t="s">
        <v>38</v>
      </c>
      <c r="H286" s="55" t="str">
        <f>HYPERLINK("https://innovativeincomeinvestor.com/security/first-horizon-corporation-4-70-non-cumulative-perpetual-preferred-stock-series-f/","FHN-F")</f>
        <v>FHN-F</v>
      </c>
      <c r="I286" s="47">
        <v>4.7E-2</v>
      </c>
      <c r="J286" s="74">
        <f ca="1">IFERROR(__xludf.DUMMYFUNCTION("GoogleFinance(H286)"),17.76)</f>
        <v>17.760000000000002</v>
      </c>
      <c r="K286" s="74">
        <f ca="1">IFERROR(__xludf.DUMMYFUNCTION("googlefinance(H286,""change"")"),0.01)</f>
        <v>0.01</v>
      </c>
      <c r="L286" s="75">
        <f t="shared" ca="1" si="161"/>
        <v>6.576576576576576E-2</v>
      </c>
      <c r="M286" s="27">
        <f t="shared" ca="1" si="160"/>
        <v>0.35536576576576567</v>
      </c>
      <c r="N286" s="28" t="s">
        <v>31</v>
      </c>
      <c r="O286" s="28" t="s">
        <v>223</v>
      </c>
      <c r="P286" s="28" t="s">
        <v>146</v>
      </c>
      <c r="Q286" s="91">
        <v>0.29199999999999998</v>
      </c>
      <c r="R286" s="92">
        <v>46213</v>
      </c>
      <c r="S286" s="96" t="s">
        <v>41</v>
      </c>
      <c r="T286" s="93" t="s">
        <v>271</v>
      </c>
      <c r="U286" s="16">
        <f t="shared" ca="1" si="151"/>
        <v>1</v>
      </c>
      <c r="V286" s="11" t="str">
        <v>All</v>
      </c>
      <c r="X286">
        <f t="shared" ca="1" si="140"/>
        <v>0.41551423477647814</v>
      </c>
      <c r="Z286" s="17">
        <f t="shared" ca="1" si="141"/>
        <v>46213</v>
      </c>
      <c r="AG286" s="33">
        <f t="shared" ca="1" si="142"/>
        <v>0.23208599350208303</v>
      </c>
      <c r="AH286">
        <f t="shared" ca="1" si="143"/>
        <v>0.12597266352875275</v>
      </c>
      <c r="AI286">
        <f t="shared" ca="1" si="144"/>
        <v>0.10618890204145971</v>
      </c>
      <c r="AJ286">
        <f t="shared" ca="1" si="145"/>
        <v>9.1530843712985505E-2</v>
      </c>
      <c r="AK286">
        <f t="shared" ca="1" si="146"/>
        <v>7.5100445957450024E-2</v>
      </c>
    </row>
    <row r="287" spans="1:37" ht="17.25" customHeight="1">
      <c r="A287" s="68"/>
      <c r="B287" s="69" t="s">
        <v>270</v>
      </c>
      <c r="C287" s="36" t="s">
        <v>27</v>
      </c>
      <c r="D287" s="28" t="s">
        <v>35</v>
      </c>
      <c r="E287" s="28" t="s">
        <v>110</v>
      </c>
      <c r="F287" s="28" t="s">
        <v>272</v>
      </c>
      <c r="G287" s="28" t="s">
        <v>38</v>
      </c>
      <c r="H287" s="23" t="str">
        <f>HYPERLINK("https://innovativeincomeinvestor.com/security/first-horizon-national-6-50-non-cumulative-perpetual-preferred-stock-series-e/","FHN-E")</f>
        <v>FHN-E</v>
      </c>
      <c r="I287" s="47">
        <v>6.5000000000000002E-2</v>
      </c>
      <c r="J287" s="96">
        <f ca="1">IFERROR(__xludf.DUMMYFUNCTION("GoogleFinance(H287)"),23.89)</f>
        <v>23.89</v>
      </c>
      <c r="K287" s="115">
        <f ca="1">IFERROR(__xludf.DUMMYFUNCTION("googlefinance(H287,""change"")"),-0.14)</f>
        <v>-0.14000000000000001</v>
      </c>
      <c r="L287" s="97">
        <f t="shared" ca="1" si="161"/>
        <v>6.8647969861866887E-2</v>
      </c>
      <c r="M287" s="27">
        <f t="shared" ca="1" si="160"/>
        <v>0.19345522385082897</v>
      </c>
      <c r="N287" s="89" t="s">
        <v>31</v>
      </c>
      <c r="O287" s="89" t="s">
        <v>223</v>
      </c>
      <c r="P287" s="28" t="s">
        <v>146</v>
      </c>
      <c r="Q287" s="91">
        <v>0.41</v>
      </c>
      <c r="R287" s="92">
        <v>45940</v>
      </c>
      <c r="S287" s="96" t="s">
        <v>41</v>
      </c>
      <c r="T287" s="93" t="s">
        <v>271</v>
      </c>
      <c r="U287" s="16">
        <f t="shared" ca="1" si="151"/>
        <v>0.25205479452054796</v>
      </c>
      <c r="V287" s="11" t="str">
        <v>All</v>
      </c>
      <c r="X287">
        <f t="shared" ca="1" si="140"/>
        <v>0.11256707345893568</v>
      </c>
      <c r="Z287" s="17">
        <f t="shared" ca="1" si="141"/>
        <v>46213</v>
      </c>
      <c r="AG287" s="33">
        <f t="shared" ca="1" si="142"/>
        <v>8.9492747956196078E-2</v>
      </c>
      <c r="AH287">
        <f t="shared" ca="1" si="143"/>
        <v>7.575503657213406E-2</v>
      </c>
      <c r="AI287">
        <f t="shared" ca="1" si="144"/>
        <v>7.3166181971520722E-2</v>
      </c>
      <c r="AJ287">
        <f t="shared" ca="1" si="145"/>
        <v>7.1247715419845828E-2</v>
      </c>
      <c r="AK287">
        <f t="shared" ca="1" si="146"/>
        <v>6.9114074454142554E-2</v>
      </c>
    </row>
    <row r="288" spans="1:37" ht="17.25" customHeight="1">
      <c r="A288" s="19"/>
      <c r="B288" s="45" t="s">
        <v>270</v>
      </c>
      <c r="C288" s="28" t="s">
        <v>27</v>
      </c>
      <c r="D288" s="28" t="s">
        <v>35</v>
      </c>
      <c r="E288" s="28" t="s">
        <v>110</v>
      </c>
      <c r="F288" s="28" t="s">
        <v>46</v>
      </c>
      <c r="G288" s="28" t="s">
        <v>38</v>
      </c>
      <c r="H288" s="51" t="str">
        <f>HYPERLINK("https://innovativeincomeinvestor.com/security/iberiabank-corp-6-60-dep-shares-fixedfloat-non-cumulo-perp-pfd-stock-series-c/","FHN-C")</f>
        <v>FHN-C</v>
      </c>
      <c r="I288" s="47">
        <v>6.6000000000000003E-2</v>
      </c>
      <c r="J288" s="65">
        <f ca="1">IFERROR(__xludf.DUMMYFUNCTION("GoogleFinance(H288)"),25.43)</f>
        <v>25.43</v>
      </c>
      <c r="K288" s="48">
        <f ca="1">IFERROR(__xludf.DUMMYFUNCTION("googlefinance(H288,""change"")"),0.09)</f>
        <v>0.09</v>
      </c>
      <c r="L288" s="27">
        <f t="shared" ca="1" si="161"/>
        <v>6.4883995281163981E-2</v>
      </c>
      <c r="M288" s="27">
        <f t="shared" ca="1" si="160"/>
        <v>3.1159133404627785E-2</v>
      </c>
      <c r="N288" s="28" t="s">
        <v>31</v>
      </c>
      <c r="O288" s="28" t="s">
        <v>223</v>
      </c>
      <c r="P288" s="28" t="s">
        <v>146</v>
      </c>
      <c r="Q288" s="29">
        <f>(I288*25)/4</f>
        <v>0.41250000000000003</v>
      </c>
      <c r="R288" s="64">
        <v>46143</v>
      </c>
      <c r="S288" s="54" t="s">
        <v>41</v>
      </c>
      <c r="T288" s="62" t="s">
        <v>101</v>
      </c>
      <c r="U288" s="16">
        <f t="shared" ca="1" si="151"/>
        <v>0.80821917808219179</v>
      </c>
      <c r="V288" s="11" t="str">
        <v>All</v>
      </c>
      <c r="X288">
        <f t="shared" ca="1" si="140"/>
        <v>4.8277899504267703E-2</v>
      </c>
      <c r="Z288" s="17">
        <f t="shared" ca="1" si="141"/>
        <v>46213</v>
      </c>
      <c r="AG288" s="33">
        <f t="shared" ca="1" si="142"/>
        <v>5.6841012133492679E-2</v>
      </c>
      <c r="AH288">
        <f t="shared" ca="1" si="143"/>
        <v>6.1970964114784623E-2</v>
      </c>
      <c r="AI288">
        <f t="shared" ca="1" si="144"/>
        <v>6.2940541915851828E-2</v>
      </c>
      <c r="AJ288">
        <f t="shared" ca="1" si="145"/>
        <v>6.3660303346363273E-2</v>
      </c>
      <c r="AK288">
        <f t="shared" ca="1" si="146"/>
        <v>6.4462496683713122E-2</v>
      </c>
    </row>
    <row r="289" spans="1:37" ht="17.25" customHeight="1">
      <c r="A289" s="68"/>
      <c r="B289" s="69" t="s">
        <v>273</v>
      </c>
      <c r="C289" s="28" t="s">
        <v>27</v>
      </c>
      <c r="D289" s="28" t="s">
        <v>35</v>
      </c>
      <c r="E289" s="28" t="s">
        <v>110</v>
      </c>
      <c r="F289" s="28" t="s">
        <v>46</v>
      </c>
      <c r="G289" s="28" t="s">
        <v>38</v>
      </c>
      <c r="H289" s="66" t="str">
        <f>HYPERLINK("https://innovativeincomeinvestor.com/security/iberiabank-corporation-6-10-fixed-to-floating-non-cumulative-perpetual-preferred-stock-series-d/","FHN-D")</f>
        <v>FHN-D</v>
      </c>
      <c r="I289" s="47">
        <v>6.0999999999999999E-2</v>
      </c>
      <c r="J289" s="170" t="s">
        <v>68</v>
      </c>
      <c r="K289" s="170" t="s">
        <v>68</v>
      </c>
      <c r="L289" s="170" t="s">
        <v>68</v>
      </c>
      <c r="M289" s="170" t="s">
        <v>68</v>
      </c>
      <c r="N289" s="28" t="s">
        <v>31</v>
      </c>
      <c r="O289" s="28" t="s">
        <v>223</v>
      </c>
      <c r="P289" s="28" t="s">
        <v>146</v>
      </c>
      <c r="Q289" s="29">
        <f t="shared" ref="Q289:Q290" si="162">(I289*25)/2</f>
        <v>0.76249999999999996</v>
      </c>
      <c r="R289" s="64">
        <v>45413</v>
      </c>
      <c r="S289" s="28" t="s">
        <v>41</v>
      </c>
      <c r="T289" s="62" t="s">
        <v>274</v>
      </c>
      <c r="U289" s="16">
        <f t="shared" ca="1" si="151"/>
        <v>-1.1917808219178083</v>
      </c>
      <c r="V289" s="11" t="str">
        <v>All</v>
      </c>
      <c r="X289" t="e">
        <f t="shared" ca="1" si="140"/>
        <v>#VALUE!</v>
      </c>
      <c r="Z289" s="17">
        <f t="shared" ca="1" si="141"/>
        <v>46213</v>
      </c>
      <c r="AG289" s="33" t="e">
        <f t="shared" ca="1" si="142"/>
        <v>#VALUE!</v>
      </c>
      <c r="AH289" t="e">
        <f t="shared" ca="1" si="143"/>
        <v>#VALUE!</v>
      </c>
      <c r="AI289" t="e">
        <f t="shared" ca="1" si="144"/>
        <v>#VALUE!</v>
      </c>
      <c r="AJ289" t="e">
        <f t="shared" ca="1" si="145"/>
        <v>#VALUE!</v>
      </c>
      <c r="AK289" t="e">
        <f t="shared" ca="1" si="146"/>
        <v>#VALUE!</v>
      </c>
    </row>
    <row r="290" spans="1:37" ht="17.25" customHeight="1">
      <c r="A290" s="19"/>
      <c r="B290" s="45" t="s">
        <v>273</v>
      </c>
      <c r="C290" s="28" t="s">
        <v>27</v>
      </c>
      <c r="D290" s="28" t="s">
        <v>35</v>
      </c>
      <c r="E290" s="28" t="s">
        <v>110</v>
      </c>
      <c r="F290" s="28" t="s">
        <v>46</v>
      </c>
      <c r="G290" s="28" t="s">
        <v>38</v>
      </c>
      <c r="H290" s="51" t="str">
        <f>HYPERLINK("https://innovativeincomeinvestor.com/security/iberiabank-corp-6-625-dep-shares-fixedfloat-non-cumul-perp-pfd-stock-ser-b/","FHN-B")</f>
        <v>FHN-B</v>
      </c>
      <c r="I290" s="47">
        <v>6.6250000000000003E-2</v>
      </c>
      <c r="J290" s="65">
        <f ca="1">IFERROR(__xludf.DUMMYFUNCTION("GoogleFinance(H290)"),25.75)</f>
        <v>25.75</v>
      </c>
      <c r="K290" s="48">
        <f ca="1">IFERROR(__xludf.DUMMYFUNCTION("googlefinance(H290,""change"")"),0.01)</f>
        <v>0.01</v>
      </c>
      <c r="L290" s="27">
        <f ca="1">(Q290*2)/J290</f>
        <v>6.4320388349514562E-2</v>
      </c>
      <c r="M290" s="27">
        <f t="array" aca="1" ref="M290" ca="1">L290*U290+(25-J290)/25/U290</f>
        <v>-0.49385042740209645</v>
      </c>
      <c r="N290" s="28" t="s">
        <v>31</v>
      </c>
      <c r="O290" s="28" t="s">
        <v>223</v>
      </c>
      <c r="P290" s="28" t="s">
        <v>146</v>
      </c>
      <c r="Q290" s="29">
        <f t="shared" si="162"/>
        <v>0.828125</v>
      </c>
      <c r="R290" s="64">
        <v>45870</v>
      </c>
      <c r="S290" s="54" t="s">
        <v>41</v>
      </c>
      <c r="T290" s="62" t="s">
        <v>275</v>
      </c>
      <c r="U290" s="16">
        <f t="shared" ca="1" si="151"/>
        <v>6.0273972602739728E-2</v>
      </c>
      <c r="V290" s="11" t="str">
        <v>All</v>
      </c>
      <c r="X290">
        <f t="shared" ca="1" si="140"/>
        <v>3.5579922609263383E-2</v>
      </c>
      <c r="Z290" s="17">
        <f t="shared" ca="1" si="141"/>
        <v>46213</v>
      </c>
      <c r="AG290" s="33">
        <f t="shared" ca="1" si="142"/>
        <v>5.0387298447564642E-2</v>
      </c>
      <c r="AH290">
        <f t="shared" ca="1" si="143"/>
        <v>5.9269442909582214E-2</v>
      </c>
      <c r="AI290">
        <f t="shared" ca="1" si="144"/>
        <v>6.0949291461059978E-2</v>
      </c>
      <c r="AJ290">
        <f t="shared" ca="1" si="145"/>
        <v>6.2196425594922645E-2</v>
      </c>
      <c r="AK290">
        <f t="shared" ca="1" si="146"/>
        <v>6.3587321111086295E-2</v>
      </c>
    </row>
    <row r="291" spans="1:37" ht="17.25" customHeight="1">
      <c r="A291" s="19"/>
      <c r="B291" s="45" t="s">
        <v>276</v>
      </c>
      <c r="C291" s="36" t="s">
        <v>27</v>
      </c>
      <c r="D291" s="28" t="s">
        <v>27</v>
      </c>
      <c r="E291" s="28" t="s">
        <v>110</v>
      </c>
      <c r="F291" s="28" t="s">
        <v>46</v>
      </c>
      <c r="G291" s="28" t="s">
        <v>30</v>
      </c>
      <c r="H291" s="51" t="str">
        <f>HYPERLINK("https://innovativeincomeinvestor.com/security/firstinternet6/","INBKZ")</f>
        <v>INBKZ</v>
      </c>
      <c r="I291" s="47">
        <v>0.06</v>
      </c>
      <c r="J291" s="26">
        <f ca="1">IFERROR(__xludf.DUMMYFUNCTION("GOOGLEFINANCE(H291)"),24.61)</f>
        <v>24.61</v>
      </c>
      <c r="K291" s="26">
        <f ca="1">IFERROR(__xludf.DUMMYFUNCTION("GOOGLEFINANCE(H291,""change"")"),-0.04)</f>
        <v>-0.04</v>
      </c>
      <c r="L291" s="52" t="s">
        <v>47</v>
      </c>
      <c r="M291" s="52" t="s">
        <v>47</v>
      </c>
      <c r="N291" s="28" t="s">
        <v>31</v>
      </c>
      <c r="O291" s="27" t="s">
        <v>32</v>
      </c>
      <c r="P291" s="27" t="s">
        <v>32</v>
      </c>
      <c r="Q291" s="52" t="s">
        <v>47</v>
      </c>
      <c r="R291" s="64">
        <v>45473</v>
      </c>
      <c r="S291" s="64">
        <v>47299</v>
      </c>
      <c r="T291" s="62" t="s">
        <v>56</v>
      </c>
      <c r="U291" s="16">
        <f t="shared" ca="1" si="151"/>
        <v>-1.0273972602739727</v>
      </c>
      <c r="V291" s="11" t="str">
        <v>All</v>
      </c>
      <c r="X291">
        <f t="shared" ca="1" si="140"/>
        <v>7.6351463862443111E-2</v>
      </c>
      <c r="Z291" s="17">
        <f t="shared" ca="1" si="141"/>
        <v>46213</v>
      </c>
      <c r="AG291" s="33">
        <f t="shared" ca="1" si="142"/>
        <v>6.8412190449569685E-2</v>
      </c>
      <c r="AH291">
        <f t="shared" ca="1" si="143"/>
        <v>6.3668909706608268E-2</v>
      </c>
      <c r="AI291">
        <f t="shared" ca="1" si="144"/>
        <v>6.2772410276439261E-2</v>
      </c>
      <c r="AJ291">
        <f t="shared" ca="1" si="145"/>
        <v>6.2106464873476271E-2</v>
      </c>
      <c r="AK291">
        <f t="shared" ca="1" si="146"/>
        <v>6.1359359113630323E-2</v>
      </c>
    </row>
    <row r="292" spans="1:37" ht="17.25" customHeight="1">
      <c r="A292" s="19"/>
      <c r="B292" s="45" t="s">
        <v>277</v>
      </c>
      <c r="C292" s="28" t="s">
        <v>27</v>
      </c>
      <c r="D292" s="28" t="s">
        <v>35</v>
      </c>
      <c r="E292" s="28" t="s">
        <v>110</v>
      </c>
      <c r="F292" s="28" t="s">
        <v>29</v>
      </c>
      <c r="G292" s="28" t="s">
        <v>38</v>
      </c>
      <c r="H292" s="23" t="str">
        <f>HYPERLINK("https://innovativeincomeinvestor.com/security/first-merchants-corporation-7-50-non-cumulative-perpetual-stock-series-b/","FRMEP")</f>
        <v>FRMEP</v>
      </c>
      <c r="I292" s="47">
        <v>7.4999999999999997E-2</v>
      </c>
      <c r="J292" s="26">
        <f ca="1">IFERROR(__xludf.DUMMYFUNCTION("GOOGLEFINANCE(H292)"),25.32)</f>
        <v>25.32</v>
      </c>
      <c r="K292" s="26">
        <f ca="1">IFERROR(__xludf.DUMMYFUNCTION("GOOGLEFINANCE(H292,""change"")"),0)</f>
        <v>0</v>
      </c>
      <c r="L292" s="27">
        <f ca="1">Q292*4/J292</f>
        <v>7.4052132701421802E-2</v>
      </c>
      <c r="M292" s="27">
        <f t="shared" ref="M292:M293" ca="1" si="163">L292*U292+(25-J292)/25/U292</f>
        <v>-0.12247400578530888</v>
      </c>
      <c r="N292" s="28" t="s">
        <v>31</v>
      </c>
      <c r="O292" s="27" t="s">
        <v>32</v>
      </c>
      <c r="P292" s="27" t="s">
        <v>32</v>
      </c>
      <c r="Q292" s="29">
        <v>0.46875</v>
      </c>
      <c r="R292" s="64">
        <v>45884</v>
      </c>
      <c r="S292" s="54" t="s">
        <v>41</v>
      </c>
      <c r="T292" s="62" t="s">
        <v>33</v>
      </c>
      <c r="U292" s="16">
        <f t="shared" ca="1" si="151"/>
        <v>9.8630136986301367E-2</v>
      </c>
      <c r="V292" s="11" t="str">
        <v>All</v>
      </c>
      <c r="X292">
        <f t="shared" ca="1" si="140"/>
        <v>6.1702601295281899E-2</v>
      </c>
      <c r="Z292" s="17">
        <f t="shared" ca="1" si="141"/>
        <v>46213</v>
      </c>
      <c r="AG292" s="33">
        <f t="shared" ca="1" si="142"/>
        <v>6.8100025780305121E-2</v>
      </c>
      <c r="AH292">
        <f t="shared" ca="1" si="143"/>
        <v>7.192756556433294E-2</v>
      </c>
      <c r="AI292">
        <f t="shared" ca="1" si="144"/>
        <v>7.264892339033141E-2</v>
      </c>
      <c r="AJ292">
        <f t="shared" ca="1" si="145"/>
        <v>7.3182626259034905E-2</v>
      </c>
      <c r="AK292">
        <f t="shared" ca="1" si="146"/>
        <v>7.3769615292957738E-2</v>
      </c>
    </row>
    <row r="293" spans="1:37" ht="17.25" customHeight="1">
      <c r="A293" s="19"/>
      <c r="B293" s="45" t="s">
        <v>278</v>
      </c>
      <c r="C293" s="28" t="s">
        <v>27</v>
      </c>
      <c r="D293" s="28" t="s">
        <v>35</v>
      </c>
      <c r="E293" s="28" t="s">
        <v>110</v>
      </c>
      <c r="F293" s="28" t="s">
        <v>29</v>
      </c>
      <c r="G293" s="28" t="s">
        <v>38</v>
      </c>
      <c r="H293" s="66" t="str">
        <f>HYPERLINK("https://innovativeincomeinvestor.com/security/new-york-community-bank-6-375/","FLG-A")</f>
        <v>FLG-A</v>
      </c>
      <c r="I293" s="47">
        <v>6.3750000000000001E-2</v>
      </c>
      <c r="J293" s="65">
        <f ca="1">IFERROR(__xludf.DUMMYFUNCTION("GoogleFinance(H293)"),21.01)</f>
        <v>21.01</v>
      </c>
      <c r="K293" s="65">
        <f ca="1">IFERROR(__xludf.DUMMYFUNCTION("googlefinance(H293,""change"")"),0.01)</f>
        <v>0.01</v>
      </c>
      <c r="L293" s="27">
        <f ca="1">(Q293*4)/J293</f>
        <v>7.5856734888148494E-2</v>
      </c>
      <c r="M293" s="27">
        <f t="shared" ca="1" si="163"/>
        <v>0.22932949594894936</v>
      </c>
      <c r="N293" s="28" t="s">
        <v>31</v>
      </c>
      <c r="O293" s="28" t="s">
        <v>254</v>
      </c>
      <c r="P293" s="28" t="s">
        <v>83</v>
      </c>
      <c r="Q293" s="29">
        <f>(I293*25)/4</f>
        <v>0.3984375</v>
      </c>
      <c r="R293" s="64">
        <v>46555</v>
      </c>
      <c r="S293" s="54" t="s">
        <v>41</v>
      </c>
      <c r="T293" s="50" t="s">
        <v>58</v>
      </c>
      <c r="U293" s="16">
        <f t="shared" ca="1" si="151"/>
        <v>1.9369863013698629</v>
      </c>
      <c r="V293" s="11" t="str">
        <v>All</v>
      </c>
      <c r="X293">
        <f t="shared" ca="1" si="140"/>
        <v>0.24892949269125189</v>
      </c>
      <c r="Z293" s="17">
        <f t="shared" ca="1" si="141"/>
        <v>46213</v>
      </c>
      <c r="AG293" s="33">
        <f t="shared" ca="1" si="142"/>
        <v>0.15841509167570986</v>
      </c>
      <c r="AH293">
        <f t="shared" ca="1" si="143"/>
        <v>0.10522557428999633</v>
      </c>
      <c r="AI293">
        <f t="shared" ca="1" si="144"/>
        <v>9.5268883088266559E-2</v>
      </c>
      <c r="AJ293">
        <f t="shared" ca="1" si="145"/>
        <v>8.7912173548487252E-2</v>
      </c>
      <c r="AK293">
        <f t="shared" ca="1" si="146"/>
        <v>7.9791414979681161E-2</v>
      </c>
    </row>
    <row r="294" spans="1:37" ht="17.25" customHeight="1">
      <c r="A294" s="19"/>
      <c r="B294" s="45" t="s">
        <v>279</v>
      </c>
      <c r="C294" s="28" t="s">
        <v>27</v>
      </c>
      <c r="D294" s="28" t="s">
        <v>35</v>
      </c>
      <c r="E294" s="28" t="s">
        <v>110</v>
      </c>
      <c r="F294" s="28" t="s">
        <v>46</v>
      </c>
      <c r="G294" s="28" t="s">
        <v>38</v>
      </c>
      <c r="H294" s="51" t="str">
        <f>HYPERLINK("https://innovativeincomeinvestor.com/security/f-n-b-corp-7-25-dep-shares-fixedfloat-non-cumulative-preferred-stock-ser-e/","FNB-E")</f>
        <v>FNB-E</v>
      </c>
      <c r="I294" s="47">
        <v>7.2499999999999995E-2</v>
      </c>
      <c r="J294" s="170" t="s">
        <v>68</v>
      </c>
      <c r="K294" s="170" t="s">
        <v>68</v>
      </c>
      <c r="L294" s="170" t="s">
        <v>68</v>
      </c>
      <c r="M294" s="170" t="s">
        <v>68</v>
      </c>
      <c r="N294" s="28" t="s">
        <v>31</v>
      </c>
      <c r="O294" s="28" t="s">
        <v>32</v>
      </c>
      <c r="P294" s="28" t="s">
        <v>146</v>
      </c>
      <c r="Q294" s="52" t="s">
        <v>47</v>
      </c>
      <c r="R294" s="64">
        <v>45337</v>
      </c>
      <c r="S294" s="54" t="s">
        <v>41</v>
      </c>
      <c r="T294" s="62" t="s">
        <v>33</v>
      </c>
      <c r="U294" s="16">
        <f t="shared" ca="1" si="151"/>
        <v>-1.4</v>
      </c>
      <c r="V294" s="11" t="str">
        <v>All</v>
      </c>
      <c r="X294" t="e">
        <f t="shared" ca="1" si="140"/>
        <v>#VALUE!</v>
      </c>
      <c r="Z294" s="17">
        <f t="shared" ca="1" si="141"/>
        <v>46213</v>
      </c>
      <c r="AG294" s="33" t="e">
        <f t="shared" ca="1" si="142"/>
        <v>#VALUE!</v>
      </c>
      <c r="AH294" t="e">
        <f t="shared" ca="1" si="143"/>
        <v>#VALUE!</v>
      </c>
      <c r="AI294" t="e">
        <f t="shared" ca="1" si="144"/>
        <v>#VALUE!</v>
      </c>
      <c r="AJ294" t="e">
        <f t="shared" ca="1" si="145"/>
        <v>#VALUE!</v>
      </c>
      <c r="AK294" t="e">
        <f t="shared" ca="1" si="146"/>
        <v>#VALUE!</v>
      </c>
    </row>
    <row r="295" spans="1:37" ht="17.25" customHeight="1">
      <c r="A295" s="19"/>
      <c r="B295" s="45" t="s">
        <v>280</v>
      </c>
      <c r="C295" s="28" t="s">
        <v>27</v>
      </c>
      <c r="D295" s="28" t="s">
        <v>27</v>
      </c>
      <c r="E295" s="28" t="s">
        <v>67</v>
      </c>
      <c r="F295" s="28" t="s">
        <v>29</v>
      </c>
      <c r="G295" s="28" t="s">
        <v>30</v>
      </c>
      <c r="H295" s="83" t="str">
        <f>HYPERLINK("https://innovativeincomeinvestor.com/security/ford-motor-company-6-20-notes-due-2059/","F-B")</f>
        <v>F-B</v>
      </c>
      <c r="I295" s="47">
        <v>6.2E-2</v>
      </c>
      <c r="J295" s="114">
        <f ca="1">IFERROR(__xludf.DUMMYFUNCTION("GoogleFinance(H295)"),21.28)</f>
        <v>21.28</v>
      </c>
      <c r="K295" s="57">
        <f ca="1">IFERROR(__xludf.DUMMYFUNCTION("googlefinance(H295,""change"")"),-0.22)</f>
        <v>-0.22</v>
      </c>
      <c r="L295" s="58">
        <f t="shared" ref="L295:L297" ca="1" si="164">(Q295*4)/J295</f>
        <v>7.3308270676691725E-2</v>
      </c>
      <c r="M295" s="58">
        <f t="array" aca="1" ref="M295" ca="1">L295*U295+(25-J295)/25/U295</f>
        <v>-0.21557685275170835</v>
      </c>
      <c r="N295" s="59" t="s">
        <v>31</v>
      </c>
      <c r="O295" s="59" t="s">
        <v>69</v>
      </c>
      <c r="P295" s="59" t="s">
        <v>32</v>
      </c>
      <c r="Q295" s="60">
        <v>0.39</v>
      </c>
      <c r="R295" s="49">
        <v>45444</v>
      </c>
      <c r="S295" s="182">
        <v>58227</v>
      </c>
      <c r="T295" s="183" t="s">
        <v>81</v>
      </c>
      <c r="U295" s="16">
        <f t="shared" ca="1" si="151"/>
        <v>-1.106849315068493</v>
      </c>
      <c r="V295" s="11" t="str">
        <v>All</v>
      </c>
      <c r="X295">
        <f t="shared" ca="1" si="140"/>
        <v>0.23309076802904391</v>
      </c>
      <c r="Z295" s="17">
        <f t="shared" ca="1" si="141"/>
        <v>46213</v>
      </c>
      <c r="AG295" s="33">
        <f t="shared" ca="1" si="142"/>
        <v>0.14944285930160209</v>
      </c>
      <c r="AH295">
        <f t="shared" ca="1" si="143"/>
        <v>0.10021569400021059</v>
      </c>
      <c r="AI295">
        <f t="shared" ca="1" si="144"/>
        <v>9.0989317833140057E-2</v>
      </c>
      <c r="AJ295">
        <f t="shared" ca="1" si="145"/>
        <v>8.4164594628640704E-2</v>
      </c>
      <c r="AK295">
        <f t="shared" ca="1" si="146"/>
        <v>7.6602882643179895E-2</v>
      </c>
    </row>
    <row r="296" spans="1:37" ht="17.25" customHeight="1">
      <c r="A296" s="19"/>
      <c r="B296" s="20" t="s">
        <v>280</v>
      </c>
      <c r="C296" s="28" t="s">
        <v>27</v>
      </c>
      <c r="D296" s="28" t="s">
        <v>27</v>
      </c>
      <c r="E296" s="28" t="s">
        <v>67</v>
      </c>
      <c r="F296" s="28" t="s">
        <v>29</v>
      </c>
      <c r="G296" s="28" t="s">
        <v>30</v>
      </c>
      <c r="H296" s="83" t="str">
        <f>HYPERLINK("https://innovativeincomeinvestor.com/security/ford-motor-company-6-00-notes-due-2059/","F-C")</f>
        <v>F-C</v>
      </c>
      <c r="I296" s="47">
        <v>0.06</v>
      </c>
      <c r="J296" s="114">
        <f ca="1">IFERROR(__xludf.DUMMYFUNCTION("GoogleFinance(H296)"),21.07)</f>
        <v>21.07</v>
      </c>
      <c r="K296" s="57">
        <f ca="1">IFERROR(__xludf.DUMMYFUNCTION("googlefinance(H296,""change"")"),-0.26)</f>
        <v>-0.26</v>
      </c>
      <c r="L296" s="58">
        <f t="shared" ca="1" si="164"/>
        <v>7.2140484100616992E-2</v>
      </c>
      <c r="M296" s="27">
        <f ca="1">(25-J296)/25</f>
        <v>0.15719999999999998</v>
      </c>
      <c r="N296" s="59" t="s">
        <v>31</v>
      </c>
      <c r="O296" s="59" t="s">
        <v>69</v>
      </c>
      <c r="P296" s="59" t="s">
        <v>32</v>
      </c>
      <c r="Q296" s="60">
        <v>0.38</v>
      </c>
      <c r="R296" s="49">
        <v>45627</v>
      </c>
      <c r="S296" s="182">
        <v>58410</v>
      </c>
      <c r="T296" s="183" t="s">
        <v>81</v>
      </c>
      <c r="U296" s="16">
        <f t="shared" ca="1" si="151"/>
        <v>-0.60547945205479448</v>
      </c>
      <c r="V296" s="11" t="str">
        <v>All</v>
      </c>
      <c r="X296">
        <f t="shared" ca="1" si="140"/>
        <v>0.24163634798480452</v>
      </c>
      <c r="Z296" s="17">
        <f t="shared" ca="1" si="141"/>
        <v>46213</v>
      </c>
      <c r="AG296" s="33">
        <f t="shared" ca="1" si="142"/>
        <v>0.15269090086208514</v>
      </c>
      <c r="AH296">
        <f t="shared" ca="1" si="143"/>
        <v>0.10038965436617432</v>
      </c>
      <c r="AI296">
        <f t="shared" ca="1" si="144"/>
        <v>9.0586601154468843E-2</v>
      </c>
      <c r="AJ296">
        <f t="shared" ca="1" si="145"/>
        <v>8.3331143095661739E-2</v>
      </c>
      <c r="AK296">
        <f t="shared" ca="1" si="146"/>
        <v>7.5272980162662859E-2</v>
      </c>
    </row>
    <row r="297" spans="1:37" ht="17.25" customHeight="1">
      <c r="A297" s="19"/>
      <c r="B297" s="20" t="s">
        <v>280</v>
      </c>
      <c r="C297" s="28" t="s">
        <v>27</v>
      </c>
      <c r="D297" s="28" t="s">
        <v>27</v>
      </c>
      <c r="E297" s="28" t="s">
        <v>67</v>
      </c>
      <c r="F297" s="28" t="s">
        <v>29</v>
      </c>
      <c r="G297" s="28" t="s">
        <v>30</v>
      </c>
      <c r="H297" s="23" t="str">
        <f>HYPERLINK("https://innovativeincomeinvestor.com/security/ford-motor-company-6-50-notes-due-august-15-2062/","F-D")</f>
        <v>F-D</v>
      </c>
      <c r="I297" s="47">
        <v>6.5000000000000002E-2</v>
      </c>
      <c r="J297" s="114">
        <f ca="1">IFERROR(__xludf.DUMMYFUNCTION("GoogleFinance(H297)"),22.75)</f>
        <v>22.75</v>
      </c>
      <c r="K297" s="57">
        <f ca="1">IFERROR(__xludf.DUMMYFUNCTION("googlefinance(H297,""change"")"),-0.25)</f>
        <v>-0.25</v>
      </c>
      <c r="L297" s="58">
        <f t="shared" ca="1" si="164"/>
        <v>7.2087912087912084E-2</v>
      </c>
      <c r="M297" s="58">
        <f t="array" aca="1" ref="M297" ca="1">L297*U297+(25-J297)/25/U297</f>
        <v>0.19417098231358398</v>
      </c>
      <c r="N297" s="59" t="s">
        <v>31</v>
      </c>
      <c r="O297" s="59" t="s">
        <v>69</v>
      </c>
      <c r="P297" s="59" t="s">
        <v>32</v>
      </c>
      <c r="Q297" s="60">
        <v>0.41</v>
      </c>
      <c r="R297" s="49">
        <v>46614</v>
      </c>
      <c r="S297" s="182">
        <v>59398</v>
      </c>
      <c r="T297" s="183" t="s">
        <v>33</v>
      </c>
      <c r="U297" s="16">
        <f t="shared" ca="1" si="151"/>
        <v>2.0986301369863014</v>
      </c>
      <c r="V297" s="11" t="str">
        <v>All</v>
      </c>
      <c r="X297">
        <f t="shared" ca="1" si="140"/>
        <v>0.16443573959604854</v>
      </c>
      <c r="Z297" s="17">
        <f t="shared" ca="1" si="141"/>
        <v>46213</v>
      </c>
      <c r="AG297" s="33">
        <f t="shared" ca="1" si="142"/>
        <v>0.11607207683568778</v>
      </c>
      <c r="AH297">
        <f t="shared" ca="1" si="143"/>
        <v>8.742209637742801E-2</v>
      </c>
      <c r="AI297">
        <f t="shared" ca="1" si="144"/>
        <v>8.2037485613989866E-2</v>
      </c>
      <c r="AJ297">
        <f t="shared" ca="1" si="145"/>
        <v>7.8052259289343964E-2</v>
      </c>
      <c r="AK297">
        <f t="shared" ca="1" si="146"/>
        <v>7.3635502793923682E-2</v>
      </c>
    </row>
    <row r="298" spans="1:37" ht="17.25" customHeight="1">
      <c r="A298" s="19"/>
      <c r="B298" s="45" t="s">
        <v>281</v>
      </c>
      <c r="C298" s="28" t="s">
        <v>35</v>
      </c>
      <c r="D298" s="28" t="s">
        <v>35</v>
      </c>
      <c r="E298" s="28" t="s">
        <v>67</v>
      </c>
      <c r="F298" s="28" t="s">
        <v>29</v>
      </c>
      <c r="G298" s="28" t="s">
        <v>38</v>
      </c>
      <c r="H298" s="83" t="str">
        <f>HYPERLINK("https://innovativeincomeinvestor.com/security/fortress-biotech-9-375-series-a-cumulative-perpetual-preferred-stock/","FBIOP")</f>
        <v>FBIOP</v>
      </c>
      <c r="I298" s="47">
        <v>9.375E-2</v>
      </c>
      <c r="J298" s="65">
        <f ca="1">IFERROR(__xludf.DUMMYFUNCTION("GoogleFinance(H298)"),8.19)</f>
        <v>8.19</v>
      </c>
      <c r="K298" s="48">
        <f ca="1">IFERROR(__xludf.DUMMYFUNCTION("googlefinance(H298,""change"")"),0.29)</f>
        <v>0.28999999999999998</v>
      </c>
      <c r="L298" s="95" t="s">
        <v>124</v>
      </c>
      <c r="M298" s="95" t="s">
        <v>124</v>
      </c>
      <c r="N298" s="95" t="s">
        <v>31</v>
      </c>
      <c r="O298" s="95" t="s">
        <v>32</v>
      </c>
      <c r="P298" s="95" t="s">
        <v>32</v>
      </c>
      <c r="Q298" s="118" t="s">
        <v>124</v>
      </c>
      <c r="R298" s="64">
        <v>44910</v>
      </c>
      <c r="S298" s="54" t="s">
        <v>41</v>
      </c>
      <c r="T298" s="62" t="s">
        <v>178</v>
      </c>
      <c r="U298" s="16">
        <f t="shared" ca="1" si="151"/>
        <v>-2.56986301369863</v>
      </c>
      <c r="V298" s="11" t="str">
        <v>All</v>
      </c>
      <c r="X298">
        <f t="shared" ca="1" si="140"/>
        <v>1.4872852041148925</v>
      </c>
      <c r="Z298" s="17">
        <f t="shared" ca="1" si="141"/>
        <v>46213</v>
      </c>
      <c r="AG298" s="33">
        <f t="shared" ca="1" si="142"/>
        <v>0.78889531688587522</v>
      </c>
      <c r="AH298">
        <f t="shared" ca="1" si="143"/>
        <v>0.42125322327696585</v>
      </c>
      <c r="AI298">
        <f t="shared" ca="1" si="144"/>
        <v>0.35921818071378608</v>
      </c>
      <c r="AJ298">
        <f t="shared" ca="1" si="145"/>
        <v>0.31826545875708551</v>
      </c>
      <c r="AK298">
        <f t="shared" ca="1" si="146"/>
        <v>0.28840847823853077</v>
      </c>
    </row>
    <row r="299" spans="1:37" ht="17.25" customHeight="1">
      <c r="A299" s="19"/>
      <c r="B299" s="45" t="s">
        <v>282</v>
      </c>
      <c r="C299" s="28" t="s">
        <v>27</v>
      </c>
      <c r="D299" s="28" t="s">
        <v>27</v>
      </c>
      <c r="E299" s="28" t="s">
        <v>67</v>
      </c>
      <c r="F299" s="36" t="s">
        <v>29</v>
      </c>
      <c r="G299" s="28" t="s">
        <v>30</v>
      </c>
      <c r="H299" s="184" t="str">
        <f>HYPERLINK("https://innovativeincomeinvestor.com/security/fossil-group-inc-7-00-senior-notes-due-2026/","FOSLL")</f>
        <v>FOSLL</v>
      </c>
      <c r="I299" s="47">
        <v>7.0000000000000007E-2</v>
      </c>
      <c r="J299" s="25">
        <f ca="1">IFERROR(__xludf.DUMMYFUNCTION("GoogleFinance(H299)"),18.05)</f>
        <v>18.05</v>
      </c>
      <c r="K299" s="48">
        <f ca="1">IFERROR(__xludf.DUMMYFUNCTION("googlefinance(H299,""change"")"),0.88)</f>
        <v>0.88</v>
      </c>
      <c r="L299" s="27">
        <f t="shared" ref="L299:L300" ca="1" si="165">(Q299*4)/J299</f>
        <v>9.7506925207756223E-2</v>
      </c>
      <c r="M299" s="27">
        <f t="shared" ref="M299:M300" ca="1" si="166">(25-J299)/25</f>
        <v>0.27799999999999997</v>
      </c>
      <c r="N299" s="28" t="s">
        <v>31</v>
      </c>
      <c r="O299" s="28" t="s">
        <v>32</v>
      </c>
      <c r="P299" s="28" t="s">
        <v>32</v>
      </c>
      <c r="Q299" s="29">
        <v>0.44</v>
      </c>
      <c r="R299" s="64">
        <v>45260</v>
      </c>
      <c r="S299" s="61">
        <v>46356</v>
      </c>
      <c r="T299" s="62" t="s">
        <v>283</v>
      </c>
      <c r="U299" s="16">
        <f t="shared" ca="1" si="151"/>
        <v>-1.6109589041095891</v>
      </c>
      <c r="V299" s="11" t="str">
        <v>All</v>
      </c>
      <c r="X299">
        <f t="shared" ca="1" si="140"/>
        <v>0.42569356025541438</v>
      </c>
      <c r="Z299" s="17">
        <f t="shared" ca="1" si="141"/>
        <v>46213</v>
      </c>
      <c r="AG299" s="33">
        <f t="shared" ca="1" si="142"/>
        <v>0.25103149902718586</v>
      </c>
      <c r="AH299">
        <f t="shared" ca="1" si="143"/>
        <v>0.15006204742728771</v>
      </c>
      <c r="AI299">
        <f t="shared" ca="1" si="144"/>
        <v>0.13136856061331034</v>
      </c>
      <c r="AJ299">
        <f t="shared" ca="1" si="145"/>
        <v>0.11766865338596609</v>
      </c>
      <c r="AK299">
        <f t="shared" ca="1" si="146"/>
        <v>0.10293483137609094</v>
      </c>
    </row>
    <row r="300" spans="1:37" ht="17.25" customHeight="1">
      <c r="A300" s="19"/>
      <c r="B300" s="45" t="s">
        <v>284</v>
      </c>
      <c r="C300" s="36" t="s">
        <v>35</v>
      </c>
      <c r="D300" s="28" t="s">
        <v>27</v>
      </c>
      <c r="E300" s="28" t="s">
        <v>44</v>
      </c>
      <c r="F300" s="28" t="s">
        <v>29</v>
      </c>
      <c r="G300" s="28" t="s">
        <v>38</v>
      </c>
      <c r="H300" s="66" t="str">
        <f>HYPERLINK("https://innovativeincomeinvestor.com/security/capstead-mortgage-corp-7-50-series-e-cumulative-redeemable-preferred-stock/","FBRT-E")</f>
        <v>FBRT-E</v>
      </c>
      <c r="I300" s="47">
        <v>7.4999999999999997E-2</v>
      </c>
      <c r="J300" s="150">
        <f ca="1">IFERROR(__xludf.DUMMYFUNCTION("importxml(""https://bigcharts.marketwatch.com/quickchart/quickchart.asp?symb=FBRTPRE&amp;insttype=Stock"",""/html/body/div[1]/div[2]/table/tbody/tr/td[1]/table/tbody/tr[3]/td[1]/div"")"),20.7578)</f>
        <v>20.7578</v>
      </c>
      <c r="K300" s="48">
        <f ca="1">IFERROR(__xludf.DUMMYFUNCTION("googlefinance(H300,""change"")"),-0.13)</f>
        <v>-0.13</v>
      </c>
      <c r="L300" s="27">
        <f t="shared" ca="1" si="165"/>
        <v>9.0327491352648157E-2</v>
      </c>
      <c r="M300" s="27">
        <f t="shared" ca="1" si="166"/>
        <v>0.16968800000000001</v>
      </c>
      <c r="N300" s="28" t="s">
        <v>31</v>
      </c>
      <c r="O300" s="28" t="s">
        <v>32</v>
      </c>
      <c r="P300" s="28" t="s">
        <v>32</v>
      </c>
      <c r="Q300" s="29">
        <f>(I300*25)/4</f>
        <v>0.46875</v>
      </c>
      <c r="R300" s="64">
        <v>43233</v>
      </c>
      <c r="S300" s="54" t="s">
        <v>41</v>
      </c>
      <c r="T300" s="62" t="s">
        <v>60</v>
      </c>
      <c r="U300" s="16">
        <f t="shared" ca="1" si="151"/>
        <v>-7.1643835616438354</v>
      </c>
      <c r="V300" s="11" t="str">
        <v>All</v>
      </c>
      <c r="X300">
        <f t="shared" ca="1" si="140"/>
        <v>0.27479876993512126</v>
      </c>
      <c r="Z300" s="17">
        <f t="shared" ca="1" si="141"/>
        <v>46213</v>
      </c>
      <c r="AG300" s="33">
        <f t="shared" ca="1" si="142"/>
        <v>0.17765949506423978</v>
      </c>
      <c r="AH300">
        <f t="shared" ca="1" si="143"/>
        <v>0.12071611763498158</v>
      </c>
      <c r="AI300">
        <f t="shared" ca="1" si="144"/>
        <v>0.1101050153738844</v>
      </c>
      <c r="AJ300">
        <f t="shared" ca="1" si="145"/>
        <v>0.10231057470346039</v>
      </c>
      <c r="AK300">
        <f t="shared" ca="1" si="146"/>
        <v>9.3885750702003445E-2</v>
      </c>
    </row>
    <row r="301" spans="1:37" ht="17.25" customHeight="1">
      <c r="A301" s="19"/>
      <c r="B301" s="185" t="s">
        <v>285</v>
      </c>
      <c r="C301" s="28" t="s">
        <v>35</v>
      </c>
      <c r="D301" s="28" t="s">
        <v>27</v>
      </c>
      <c r="E301" s="28" t="s">
        <v>67</v>
      </c>
      <c r="F301" s="28" t="s">
        <v>46</v>
      </c>
      <c r="G301" s="28" t="s">
        <v>38</v>
      </c>
      <c r="H301" s="83" t="str">
        <f>HYPERLINK("https://innovativeincomeinvestor.com/security/fortress-trasnportation-and-infrastructure-investors-8-25-fixed-to-floating-rates-series-a-perpetual-redeemable-preferred-stock/","FTAIP")</f>
        <v>FTAIP</v>
      </c>
      <c r="I301" s="47">
        <v>8.2500000000000004E-2</v>
      </c>
      <c r="J301" s="170" t="s">
        <v>68</v>
      </c>
      <c r="K301" s="170" t="s">
        <v>68</v>
      </c>
      <c r="L301" s="170" t="s">
        <v>68</v>
      </c>
      <c r="M301" s="170" t="s">
        <v>68</v>
      </c>
      <c r="N301" s="28" t="s">
        <v>31</v>
      </c>
      <c r="O301" s="28" t="s">
        <v>32</v>
      </c>
      <c r="P301" s="28" t="s">
        <v>32</v>
      </c>
      <c r="Q301" s="52" t="s">
        <v>47</v>
      </c>
      <c r="R301" s="64">
        <v>45550</v>
      </c>
      <c r="S301" s="54" t="s">
        <v>41</v>
      </c>
      <c r="T301" s="62" t="s">
        <v>52</v>
      </c>
      <c r="U301" s="16">
        <f t="shared" ca="1" si="151"/>
        <v>-0.81643835616438354</v>
      </c>
      <c r="V301" s="11" t="str">
        <v>All</v>
      </c>
      <c r="X301" t="e">
        <f t="shared" ca="1" si="140"/>
        <v>#VALUE!</v>
      </c>
      <c r="Z301" s="17">
        <f t="shared" ca="1" si="141"/>
        <v>46213</v>
      </c>
      <c r="AG301" s="33" t="e">
        <f t="shared" ca="1" si="142"/>
        <v>#VALUE!</v>
      </c>
      <c r="AH301" t="e">
        <f t="shared" ca="1" si="143"/>
        <v>#VALUE!</v>
      </c>
      <c r="AI301" t="e">
        <f t="shared" ca="1" si="144"/>
        <v>#VALUE!</v>
      </c>
      <c r="AJ301" t="e">
        <f t="shared" ca="1" si="145"/>
        <v>#VALUE!</v>
      </c>
      <c r="AK301" t="e">
        <f t="shared" ca="1" si="146"/>
        <v>#VALUE!</v>
      </c>
    </row>
    <row r="302" spans="1:37" ht="17.25" customHeight="1">
      <c r="A302" s="19"/>
      <c r="B302" s="185" t="s">
        <v>285</v>
      </c>
      <c r="C302" s="28" t="s">
        <v>35</v>
      </c>
      <c r="D302" s="28" t="s">
        <v>27</v>
      </c>
      <c r="E302" s="28" t="s">
        <v>67</v>
      </c>
      <c r="F302" s="36" t="s">
        <v>46</v>
      </c>
      <c r="G302" s="28" t="s">
        <v>38</v>
      </c>
      <c r="H302" s="55" t="str">
        <f>HYPERLINK("https://innovativeincomeinvestor.com/security/fortress-transportation-and-infrastructure-investors-llc/","FTAIO")</f>
        <v>FTAIO</v>
      </c>
      <c r="I302" s="47">
        <v>0.08</v>
      </c>
      <c r="J302" s="172" t="s">
        <v>68</v>
      </c>
      <c r="K302" s="173" t="s">
        <v>68</v>
      </c>
      <c r="L302" s="174" t="s">
        <v>68</v>
      </c>
      <c r="M302" s="52" t="s">
        <v>47</v>
      </c>
      <c r="N302" s="28" t="s">
        <v>31</v>
      </c>
      <c r="O302" s="28" t="s">
        <v>32</v>
      </c>
      <c r="P302" s="28" t="s">
        <v>32</v>
      </c>
      <c r="Q302" s="52" t="s">
        <v>47</v>
      </c>
      <c r="R302" s="64">
        <v>45641</v>
      </c>
      <c r="S302" s="54" t="s">
        <v>41</v>
      </c>
      <c r="T302" s="62" t="s">
        <v>52</v>
      </c>
      <c r="U302" s="16">
        <f t="shared" ca="1" si="151"/>
        <v>-0.56712328767123288</v>
      </c>
      <c r="V302" s="11" t="str">
        <v>All</v>
      </c>
      <c r="X302" t="e">
        <f t="shared" ca="1" si="140"/>
        <v>#VALUE!</v>
      </c>
      <c r="Z302" s="17">
        <f t="shared" ca="1" si="141"/>
        <v>46213</v>
      </c>
      <c r="AG302" s="33" t="e">
        <f t="shared" ca="1" si="142"/>
        <v>#VALUE!</v>
      </c>
      <c r="AH302" t="e">
        <f t="shared" ca="1" si="143"/>
        <v>#VALUE!</v>
      </c>
      <c r="AI302" t="e">
        <f t="shared" ca="1" si="144"/>
        <v>#VALUE!</v>
      </c>
      <c r="AJ302" t="e">
        <f t="shared" ca="1" si="145"/>
        <v>#VALUE!</v>
      </c>
      <c r="AK302" t="e">
        <f t="shared" ca="1" si="146"/>
        <v>#VALUE!</v>
      </c>
    </row>
    <row r="303" spans="1:37" ht="17.25" customHeight="1">
      <c r="A303" s="19"/>
      <c r="B303" s="185" t="s">
        <v>285</v>
      </c>
      <c r="C303" s="28" t="s">
        <v>35</v>
      </c>
      <c r="D303" s="28" t="s">
        <v>27</v>
      </c>
      <c r="E303" s="28" t="s">
        <v>67</v>
      </c>
      <c r="F303" s="36" t="s">
        <v>61</v>
      </c>
      <c r="G303" s="28" t="s">
        <v>38</v>
      </c>
      <c r="H303" s="55" t="str">
        <f>HYPERLINK("https://innovativeincomeinvestor.com/security/fortress-transpoation-and-infrastructure/","FTAIN")</f>
        <v>FTAIN</v>
      </c>
      <c r="I303" s="47">
        <v>8.2500000000000004E-2</v>
      </c>
      <c r="J303" s="65">
        <f ca="1">IFERROR(__xludf.DUMMYFUNCTION("GoogleFinance(H303)"),25.39)</f>
        <v>25.39</v>
      </c>
      <c r="K303" s="48">
        <f ca="1">IFERROR(__xludf.DUMMYFUNCTION("googlefinance(H303,""change"")"),-0.01)</f>
        <v>-0.01</v>
      </c>
      <c r="L303" s="27">
        <f t="shared" ref="L303:L316" ca="1" si="167">(Q303*4)/J303</f>
        <v>8.1922016541945655E-2</v>
      </c>
      <c r="M303" s="27">
        <f t="shared" ref="M303:M307" ca="1" si="168">L303*U303+(25-J303)/25/U303</f>
        <v>5.956386069499528E-2</v>
      </c>
      <c r="N303" s="28" t="s">
        <v>31</v>
      </c>
      <c r="O303" s="28" t="s">
        <v>32</v>
      </c>
      <c r="P303" s="28" t="s">
        <v>32</v>
      </c>
      <c r="Q303" s="29">
        <v>0.52</v>
      </c>
      <c r="R303" s="64">
        <v>46188</v>
      </c>
      <c r="S303" s="54" t="s">
        <v>41</v>
      </c>
      <c r="T303" s="62" t="s">
        <v>52</v>
      </c>
      <c r="U303" s="16">
        <f t="shared" ca="1" si="151"/>
        <v>0.93150684931506844</v>
      </c>
      <c r="V303" s="11" t="str">
        <v>All</v>
      </c>
      <c r="X303">
        <f t="shared" ca="1" si="140"/>
        <v>6.6248769741567987E-2</v>
      </c>
      <c r="Z303" s="17">
        <f t="shared" ca="1" si="141"/>
        <v>46213</v>
      </c>
      <c r="AG303" s="33">
        <f t="shared" ca="1" si="142"/>
        <v>7.4036434658016403E-2</v>
      </c>
      <c r="AH303">
        <f t="shared" ca="1" si="143"/>
        <v>7.8693572042446078E-2</v>
      </c>
      <c r="AI303">
        <f t="shared" ca="1" si="144"/>
        <v>7.9569363190683126E-2</v>
      </c>
      <c r="AJ303">
        <f t="shared" ca="1" si="145"/>
        <v>8.0215287082770481E-2</v>
      </c>
      <c r="AK303">
        <f t="shared" ca="1" si="146"/>
        <v>8.0917695855396835E-2</v>
      </c>
    </row>
    <row r="304" spans="1:37" ht="17.25" customHeight="1">
      <c r="A304" s="19"/>
      <c r="B304" s="45" t="s">
        <v>285</v>
      </c>
      <c r="C304" s="28" t="s">
        <v>35</v>
      </c>
      <c r="D304" s="28" t="s">
        <v>27</v>
      </c>
      <c r="E304" s="28" t="s">
        <v>67</v>
      </c>
      <c r="F304" s="36" t="s">
        <v>61</v>
      </c>
      <c r="G304" s="28" t="s">
        <v>38</v>
      </c>
      <c r="H304" s="51" t="str">
        <f>HYPERLINK("https://innovativeincomeinvestor.com/security/ftai-aviation-ltd-9-50-fixed-rate-reset-series-d-cumulative-perpetual-redeemable-preferred-stock/","FTAIM")</f>
        <v>FTAIM</v>
      </c>
      <c r="I304" s="47">
        <v>9.5000000000000001E-2</v>
      </c>
      <c r="J304" s="65">
        <f ca="1">IFERROR(__xludf.DUMMYFUNCTION("GoogleFinance(H304)"),26.64)</f>
        <v>26.64</v>
      </c>
      <c r="K304" s="48">
        <f ca="1">IFERROR(__xludf.DUMMYFUNCTION("googlefinance(H304,""change"")"),-0.11)</f>
        <v>-0.11</v>
      </c>
      <c r="L304" s="27">
        <f t="shared" ca="1" si="167"/>
        <v>8.8588588588588577E-2</v>
      </c>
      <c r="M304" s="27">
        <f t="shared" ca="1" si="168"/>
        <v>0.23758408667675382</v>
      </c>
      <c r="N304" s="28" t="s">
        <v>31</v>
      </c>
      <c r="O304" s="28" t="s">
        <v>32</v>
      </c>
      <c r="P304" s="28" t="s">
        <v>32</v>
      </c>
      <c r="Q304" s="29">
        <v>0.59</v>
      </c>
      <c r="R304" s="64">
        <v>46919</v>
      </c>
      <c r="S304" s="54" t="s">
        <v>41</v>
      </c>
      <c r="T304" s="62" t="s">
        <v>52</v>
      </c>
      <c r="U304" s="16">
        <f t="shared" ca="1" si="151"/>
        <v>2.9342465753424656</v>
      </c>
      <c r="V304" s="11" t="str">
        <v>All</v>
      </c>
      <c r="X304">
        <f t="shared" ca="1" si="140"/>
        <v>2.8238163084511138E-2</v>
      </c>
      <c r="Z304" s="17">
        <f t="shared" ca="1" si="141"/>
        <v>46213</v>
      </c>
      <c r="AG304" s="33">
        <f t="shared" ca="1" si="142"/>
        <v>5.9949480576526548E-2</v>
      </c>
      <c r="AH304">
        <f t="shared" ca="1" si="143"/>
        <v>7.8983896952387625E-2</v>
      </c>
      <c r="AI304">
        <f t="shared" ca="1" si="144"/>
        <v>8.255915941494428E-2</v>
      </c>
      <c r="AJ304">
        <f t="shared" ca="1" si="145"/>
        <v>8.5184125402045591E-2</v>
      </c>
      <c r="AK304">
        <f t="shared" ca="1" si="146"/>
        <v>8.7996549635970728E-2</v>
      </c>
    </row>
    <row r="305" spans="1:37" ht="17.25" customHeight="1">
      <c r="A305" s="19"/>
      <c r="B305" s="45" t="s">
        <v>286</v>
      </c>
      <c r="C305" s="28" t="s">
        <v>27</v>
      </c>
      <c r="D305" s="28" t="s">
        <v>35</v>
      </c>
      <c r="E305" s="28" t="s">
        <v>110</v>
      </c>
      <c r="F305" s="36" t="s">
        <v>29</v>
      </c>
      <c r="G305" s="28" t="s">
        <v>38</v>
      </c>
      <c r="H305" s="66" t="str">
        <f>HYPERLINK("https://innovativeincomeinvestor.com/security/fulton-financial-corporation-5-125-fixed-rate-non-cumulative-perpetual-preferred-stock-series-a/","FULTP")</f>
        <v>FULTP</v>
      </c>
      <c r="I305" s="47">
        <v>5.1249999999999997E-2</v>
      </c>
      <c r="J305" s="114">
        <f ca="1">IFERROR(__xludf.DUMMYFUNCTION("GoogleFinance(H305)"),18.14)</f>
        <v>18.14</v>
      </c>
      <c r="K305" s="113">
        <f ca="1">IFERROR(__xludf.DUMMYFUNCTION("googlefinance(H305,""change"")"),-0.04)</f>
        <v>-0.04</v>
      </c>
      <c r="L305" s="58">
        <f t="shared" ca="1" si="167"/>
        <v>7.0562293274531424E-2</v>
      </c>
      <c r="M305" s="58">
        <f t="shared" ca="1" si="168"/>
        <v>0.56646366134753257</v>
      </c>
      <c r="N305" s="28" t="s">
        <v>31</v>
      </c>
      <c r="O305" s="28" t="s">
        <v>32</v>
      </c>
      <c r="P305" s="28" t="s">
        <v>83</v>
      </c>
      <c r="Q305" s="29">
        <v>0.32</v>
      </c>
      <c r="R305" s="64">
        <v>46037</v>
      </c>
      <c r="S305" s="54" t="s">
        <v>41</v>
      </c>
      <c r="T305" s="62" t="s">
        <v>60</v>
      </c>
      <c r="U305" s="16">
        <f t="shared" ca="1" si="151"/>
        <v>0.51780821917808217</v>
      </c>
      <c r="V305" s="11" t="str">
        <v>All</v>
      </c>
      <c r="X305">
        <f t="shared" ca="1" si="140"/>
        <v>0.39693694854778949</v>
      </c>
      <c r="Z305" s="17">
        <f t="shared" ca="1" si="141"/>
        <v>46213</v>
      </c>
      <c r="AG305" s="33">
        <f t="shared" ca="1" si="142"/>
        <v>0.22547061082981215</v>
      </c>
      <c r="AH305">
        <f t="shared" ca="1" si="143"/>
        <v>0.12609937829754811</v>
      </c>
      <c r="AI305">
        <f t="shared" ca="1" si="144"/>
        <v>0.10757468542517291</v>
      </c>
      <c r="AJ305">
        <f t="shared" ca="1" si="145"/>
        <v>9.3866573449642637E-2</v>
      </c>
      <c r="AK305">
        <f t="shared" ca="1" si="146"/>
        <v>7.8583221089294303E-2</v>
      </c>
    </row>
    <row r="306" spans="1:37" ht="17.25" customHeight="1">
      <c r="A306" s="19"/>
      <c r="B306" s="84" t="s">
        <v>287</v>
      </c>
      <c r="C306" s="28" t="s">
        <v>35</v>
      </c>
      <c r="D306" s="28" t="s">
        <v>36</v>
      </c>
      <c r="E306" s="28" t="s">
        <v>37</v>
      </c>
      <c r="F306" s="36" t="s">
        <v>29</v>
      </c>
      <c r="G306" s="28" t="s">
        <v>38</v>
      </c>
      <c r="H306" s="63" t="str">
        <f>HYPERLINK("https://innovativeincomeinvestor.com/security/gabelli-dividend-and-income-trust-5-375-series-h-cumulative-preferred-stock/","GDV-H")</f>
        <v>GDV-H</v>
      </c>
      <c r="I306" s="47">
        <v>5.3749999999999999E-2</v>
      </c>
      <c r="J306" s="65">
        <f ca="1">IFERROR(__xludf.DUMMYFUNCTION("GoogleFinance(H306)"),23.17)</f>
        <v>23.17</v>
      </c>
      <c r="K306" s="65">
        <f ca="1">IFERROR(__xludf.DUMMYFUNCTION("googlefinance(H306,""change"")"),0.12)</f>
        <v>0.12</v>
      </c>
      <c r="L306" s="27">
        <f t="shared" ca="1" si="167"/>
        <v>5.8006042296072508E-2</v>
      </c>
      <c r="M306" s="27">
        <f t="shared" ca="1" si="168"/>
        <v>-0.13038107746862437</v>
      </c>
      <c r="N306" s="28" t="s">
        <v>39</v>
      </c>
      <c r="O306" s="28" t="s">
        <v>32</v>
      </c>
      <c r="P306" s="28" t="s">
        <v>288</v>
      </c>
      <c r="Q306" s="29">
        <v>0.33600000000000002</v>
      </c>
      <c r="R306" s="64">
        <v>45450</v>
      </c>
      <c r="S306" s="54" t="s">
        <v>41</v>
      </c>
      <c r="T306" s="62" t="s">
        <v>130</v>
      </c>
      <c r="U306" s="16">
        <f t="shared" ca="1" si="151"/>
        <v>-1.0904109589041096</v>
      </c>
      <c r="V306" s="11" t="str">
        <v>All</v>
      </c>
      <c r="X306">
        <f t="shared" ca="1" si="140"/>
        <v>0.13314088816137121</v>
      </c>
      <c r="Z306" s="17">
        <f t="shared" ca="1" si="141"/>
        <v>46213</v>
      </c>
      <c r="AG306" s="33">
        <f t="shared" ca="1" si="142"/>
        <v>9.4340031644457104E-2</v>
      </c>
      <c r="AH306">
        <f t="shared" ca="1" si="143"/>
        <v>7.1290448692628072E-2</v>
      </c>
      <c r="AI306">
        <f t="shared" ca="1" si="144"/>
        <v>6.6941327781868232E-2</v>
      </c>
      <c r="AJ306">
        <f t="shared" ca="1" si="145"/>
        <v>6.3707493989415012E-2</v>
      </c>
      <c r="AK306">
        <f t="shared" ca="1" si="146"/>
        <v>6.0064456319464873E-2</v>
      </c>
    </row>
    <row r="307" spans="1:37" ht="17.25" customHeight="1">
      <c r="A307" s="19"/>
      <c r="B307" s="45" t="s">
        <v>287</v>
      </c>
      <c r="C307" s="28" t="s">
        <v>35</v>
      </c>
      <c r="D307" s="28" t="s">
        <v>36</v>
      </c>
      <c r="E307" s="28" t="s">
        <v>37</v>
      </c>
      <c r="F307" s="36" t="s">
        <v>29</v>
      </c>
      <c r="G307" s="28" t="s">
        <v>38</v>
      </c>
      <c r="H307" s="23" t="str">
        <f>HYPERLINK("https://innovativeincomeinvestor.com/security/gabelli-dividend-income-trust-4-25-series-k-cumulative-preferred-stock/","GDV-K")</f>
        <v>GDV-K</v>
      </c>
      <c r="I307" s="47">
        <v>4.2500000000000003E-2</v>
      </c>
      <c r="J307" s="65">
        <f ca="1">IFERROR(__xludf.DUMMYFUNCTION("GoogleFinance(H307)"),18.38)</f>
        <v>18.38</v>
      </c>
      <c r="K307" s="65">
        <f ca="1">IFERROR(__xludf.DUMMYFUNCTION("googlefinance(H307,""change"")"),-0.02)</f>
        <v>-0.02</v>
      </c>
      <c r="L307" s="27">
        <f t="shared" ca="1" si="167"/>
        <v>5.8759521218716006E-2</v>
      </c>
      <c r="M307" s="27">
        <f t="shared" ca="1" si="168"/>
        <v>0.285977053138114</v>
      </c>
      <c r="N307" s="28" t="s">
        <v>39</v>
      </c>
      <c r="O307" s="28" t="s">
        <v>32</v>
      </c>
      <c r="P307" s="28" t="s">
        <v>288</v>
      </c>
      <c r="Q307" s="29">
        <v>0.27</v>
      </c>
      <c r="R307" s="64">
        <v>46302</v>
      </c>
      <c r="S307" s="54" t="s">
        <v>41</v>
      </c>
      <c r="T307" s="62" t="s">
        <v>130</v>
      </c>
      <c r="U307" s="16">
        <f t="shared" ca="1" si="151"/>
        <v>1.2438356164383562</v>
      </c>
      <c r="V307" s="11" t="str">
        <v>All</v>
      </c>
      <c r="X307">
        <f t="shared" ca="1" si="140"/>
        <v>0.37150900662915254</v>
      </c>
      <c r="Z307" s="17">
        <f t="shared" ca="1" si="141"/>
        <v>46213</v>
      </c>
      <c r="AG307" s="33">
        <f t="shared" ca="1" si="142"/>
        <v>0.20765077700263621</v>
      </c>
      <c r="AH307">
        <f t="shared" ca="1" si="143"/>
        <v>0.1124941415158776</v>
      </c>
      <c r="AI307">
        <f t="shared" ca="1" si="144"/>
        <v>9.4701364195499377E-2</v>
      </c>
      <c r="AJ307">
        <f t="shared" ca="1" si="145"/>
        <v>8.1486372429412243E-2</v>
      </c>
      <c r="AK307">
        <f t="shared" ca="1" si="146"/>
        <v>6.6553896314177616E-2</v>
      </c>
    </row>
    <row r="308" spans="1:37" ht="17.25" customHeight="1">
      <c r="A308" s="19"/>
      <c r="B308" s="45" t="s">
        <v>289</v>
      </c>
      <c r="C308" s="28" t="s">
        <v>35</v>
      </c>
      <c r="D308" s="28" t="s">
        <v>36</v>
      </c>
      <c r="E308" s="28" t="s">
        <v>37</v>
      </c>
      <c r="F308" s="36" t="s">
        <v>29</v>
      </c>
      <c r="G308" s="28" t="s">
        <v>38</v>
      </c>
      <c r="H308" s="66" t="str">
        <f>HYPERLINK("https://innovativeincomeinvestor.com/security/gabelli-equity-trust-5-00-series-h-cumulative-preferred-stock/","GAB-H")</f>
        <v>GAB-H</v>
      </c>
      <c r="I308" s="47">
        <v>0.05</v>
      </c>
      <c r="J308" s="65">
        <f ca="1">IFERROR(__xludf.DUMMYFUNCTION("GoogleFinance(H308)"),20.73)</f>
        <v>20.73</v>
      </c>
      <c r="K308" s="67">
        <f ca="1">IFERROR(__xludf.DUMMYFUNCTION("googlefinance(H308,""change"")"),-0.06)</f>
        <v>-0.06</v>
      </c>
      <c r="L308" s="27">
        <f t="shared" ca="1" si="167"/>
        <v>6.02990834539315E-2</v>
      </c>
      <c r="M308" s="27">
        <f t="shared" ref="M308:M316" ca="1" si="169">(25-J308)/25</f>
        <v>0.17079999999999998</v>
      </c>
      <c r="N308" s="28" t="s">
        <v>39</v>
      </c>
      <c r="O308" s="28" t="s">
        <v>32</v>
      </c>
      <c r="P308" s="28" t="s">
        <v>129</v>
      </c>
      <c r="Q308" s="29">
        <f t="shared" ref="Q308:Q317" si="170">(I308*25)/4</f>
        <v>0.3125</v>
      </c>
      <c r="R308" s="64">
        <v>43006</v>
      </c>
      <c r="S308" s="54" t="s">
        <v>41</v>
      </c>
      <c r="T308" s="62" t="s">
        <v>130</v>
      </c>
      <c r="U308" s="16">
        <f t="shared" ca="1" si="151"/>
        <v>-7.7863013698630139</v>
      </c>
      <c r="V308" s="11" t="str">
        <v>All</v>
      </c>
      <c r="X308">
        <f t="shared" ca="1" si="140"/>
        <v>0.24807829462017122</v>
      </c>
      <c r="Z308" s="17">
        <f t="shared" ca="1" si="141"/>
        <v>46213</v>
      </c>
      <c r="AG308" s="33">
        <f t="shared" ca="1" si="142"/>
        <v>0.1504792598111715</v>
      </c>
      <c r="AH308">
        <f t="shared" ca="1" si="143"/>
        <v>9.3136618668853602E-2</v>
      </c>
      <c r="AI308">
        <f t="shared" ca="1" si="144"/>
        <v>8.2368693656878392E-2</v>
      </c>
      <c r="AJ308">
        <f t="shared" ca="1" si="145"/>
        <v>7.4371489136957208E-2</v>
      </c>
      <c r="AK308">
        <f t="shared" ca="1" si="146"/>
        <v>6.5371160426859545E-2</v>
      </c>
    </row>
    <row r="309" spans="1:37" ht="17.25" customHeight="1">
      <c r="A309" s="19"/>
      <c r="B309" s="84" t="s">
        <v>289</v>
      </c>
      <c r="C309" s="28" t="s">
        <v>35</v>
      </c>
      <c r="D309" s="28" t="s">
        <v>36</v>
      </c>
      <c r="E309" s="28" t="s">
        <v>37</v>
      </c>
      <c r="F309" s="36" t="s">
        <v>29</v>
      </c>
      <c r="G309" s="28" t="s">
        <v>38</v>
      </c>
      <c r="H309" s="94" t="str">
        <f>HYPERLINK("https://innovativeincomeinvestor.com/security/gabelli-equity-trust-5-006-00-series-g-cumulative-preferred-stock/","GAB-G")</f>
        <v>GAB-G</v>
      </c>
      <c r="I309" s="47">
        <v>0.05</v>
      </c>
      <c r="J309" s="65">
        <f ca="1">IFERROR(__xludf.DUMMYFUNCTION("GoogleFinance(H309)"),20.65)</f>
        <v>20.65</v>
      </c>
      <c r="K309" s="65">
        <f ca="1">IFERROR(__xludf.DUMMYFUNCTION("googlefinance(H309,""change"")"),-0.01)</f>
        <v>-0.01</v>
      </c>
      <c r="L309" s="27">
        <f t="shared" ca="1" si="167"/>
        <v>6.0532687651331726E-2</v>
      </c>
      <c r="M309" s="27">
        <f t="shared" ca="1" si="169"/>
        <v>0.17400000000000004</v>
      </c>
      <c r="N309" s="28" t="s">
        <v>39</v>
      </c>
      <c r="O309" s="28" t="s">
        <v>32</v>
      </c>
      <c r="P309" s="28" t="s">
        <v>129</v>
      </c>
      <c r="Q309" s="29">
        <f t="shared" si="170"/>
        <v>0.3125</v>
      </c>
      <c r="R309" s="64">
        <v>42948</v>
      </c>
      <c r="S309" s="54" t="s">
        <v>41</v>
      </c>
      <c r="T309" s="62" t="s">
        <v>130</v>
      </c>
      <c r="U309" s="16">
        <f t="shared" ca="1" si="151"/>
        <v>-7.9452054794520546</v>
      </c>
      <c r="V309" s="11" t="str">
        <v>All</v>
      </c>
      <c r="X309">
        <f t="shared" ca="1" si="140"/>
        <v>0.25227271077896501</v>
      </c>
      <c r="Z309" s="17">
        <f t="shared" ca="1" si="141"/>
        <v>46213</v>
      </c>
      <c r="AG309" s="33">
        <f t="shared" ca="1" si="142"/>
        <v>0.15258560310015165</v>
      </c>
      <c r="AH309">
        <f t="shared" ca="1" si="143"/>
        <v>9.4039167323373613E-2</v>
      </c>
      <c r="AI309">
        <f t="shared" ca="1" si="144"/>
        <v>8.3047369733412937E-2</v>
      </c>
      <c r="AJ309">
        <f t="shared" ca="1" si="145"/>
        <v>7.4884602890227261E-2</v>
      </c>
      <c r="AK309">
        <f t="shared" ca="1" si="146"/>
        <v>6.5699773015509486E-2</v>
      </c>
    </row>
    <row r="310" spans="1:37" ht="17.25" customHeight="1">
      <c r="A310" s="19"/>
      <c r="B310" s="45" t="s">
        <v>289</v>
      </c>
      <c r="C310" s="28" t="s">
        <v>35</v>
      </c>
      <c r="D310" s="28" t="s">
        <v>36</v>
      </c>
      <c r="E310" s="28" t="s">
        <v>37</v>
      </c>
      <c r="F310" s="36" t="s">
        <v>29</v>
      </c>
      <c r="G310" s="28" t="s">
        <v>38</v>
      </c>
      <c r="H310" s="83" t="str">
        <f>HYPERLINK("https://innovativeincomeinvestor.com/security/gabelli-equity-trust-5-00-series-k-cumulative-preferred-stock/","GAB-K")</f>
        <v>GAB-K</v>
      </c>
      <c r="I310" s="47">
        <v>0.05</v>
      </c>
      <c r="J310" s="65">
        <f ca="1">IFERROR(__xludf.DUMMYFUNCTION("GoogleFinance(H310)"),20.69)</f>
        <v>20.69</v>
      </c>
      <c r="K310" s="65">
        <f ca="1">IFERROR(__xludf.DUMMYFUNCTION("googlefinance(H310,""change"")"),-0.03)</f>
        <v>-0.03</v>
      </c>
      <c r="L310" s="27">
        <f t="shared" ca="1" si="167"/>
        <v>6.0415659739004347E-2</v>
      </c>
      <c r="M310" s="27">
        <f t="shared" ca="1" si="169"/>
        <v>0.17239999999999994</v>
      </c>
      <c r="N310" s="28" t="s">
        <v>39</v>
      </c>
      <c r="O310" s="28" t="s">
        <v>32</v>
      </c>
      <c r="P310" s="28" t="s">
        <v>129</v>
      </c>
      <c r="Q310" s="29">
        <f t="shared" si="170"/>
        <v>0.3125</v>
      </c>
      <c r="R310" s="64">
        <v>45642</v>
      </c>
      <c r="S310" s="54" t="s">
        <v>41</v>
      </c>
      <c r="T310" s="62" t="s">
        <v>130</v>
      </c>
      <c r="U310" s="16">
        <f t="shared" ca="1" si="151"/>
        <v>-0.56438356164383563</v>
      </c>
      <c r="V310" s="11" t="str">
        <v>All</v>
      </c>
      <c r="X310">
        <f t="shared" ca="1" si="140"/>
        <v>0.25017293327065182</v>
      </c>
      <c r="Z310" s="17">
        <f t="shared" ca="1" si="141"/>
        <v>46213</v>
      </c>
      <c r="AG310" s="33">
        <f t="shared" ca="1" si="142"/>
        <v>0.15153124839096282</v>
      </c>
      <c r="AH310">
        <f t="shared" ca="1" si="143"/>
        <v>9.3587393613301983E-2</v>
      </c>
      <c r="AI310">
        <f t="shared" ca="1" si="144"/>
        <v>8.2707648323030014E-2</v>
      </c>
      <c r="AJ310">
        <f t="shared" ca="1" si="145"/>
        <v>7.462774465971965E-2</v>
      </c>
      <c r="AK310">
        <f t="shared" ca="1" si="146"/>
        <v>6.5535246583916823E-2</v>
      </c>
    </row>
    <row r="311" spans="1:37" ht="17.25" customHeight="1">
      <c r="A311" s="19"/>
      <c r="B311" s="45" t="s">
        <v>290</v>
      </c>
      <c r="C311" s="28" t="s">
        <v>35</v>
      </c>
      <c r="D311" s="28" t="s">
        <v>36</v>
      </c>
      <c r="E311" s="28" t="s">
        <v>37</v>
      </c>
      <c r="F311" s="36" t="s">
        <v>29</v>
      </c>
      <c r="G311" s="28" t="s">
        <v>38</v>
      </c>
      <c r="H311" s="66" t="str">
        <f>HYPERLINK("https://innovativeincomeinvestor.com/security/gabelli-multimedia-trust-5-125-series-e-cumulative-preferred-shares/","GGT-E")</f>
        <v>GGT-E</v>
      </c>
      <c r="I311" s="47">
        <v>5.1249999999999997E-2</v>
      </c>
      <c r="J311" s="65">
        <f ca="1">IFERROR(__xludf.DUMMYFUNCTION("GoogleFinance(H311)"),22.29)</f>
        <v>22.29</v>
      </c>
      <c r="K311" s="48">
        <f ca="1">IFERROR(__xludf.DUMMYFUNCTION("googlefinance(H311,""change"")"),0.04)</f>
        <v>0.04</v>
      </c>
      <c r="L311" s="27">
        <f t="shared" ca="1" si="167"/>
        <v>5.7480933153880663E-2</v>
      </c>
      <c r="M311" s="27">
        <f t="shared" ca="1" si="169"/>
        <v>0.10840000000000004</v>
      </c>
      <c r="N311" s="28" t="s">
        <v>39</v>
      </c>
      <c r="O311" s="28" t="s">
        <v>32</v>
      </c>
      <c r="P311" s="28" t="s">
        <v>40</v>
      </c>
      <c r="Q311" s="29">
        <f t="shared" si="170"/>
        <v>0.3203125</v>
      </c>
      <c r="R311" s="64">
        <v>44830</v>
      </c>
      <c r="S311" s="54" t="s">
        <v>41</v>
      </c>
      <c r="T311" s="62" t="s">
        <v>130</v>
      </c>
      <c r="U311" s="16">
        <f t="shared" ca="1" si="151"/>
        <v>-2.7890410958904108</v>
      </c>
      <c r="V311" s="11" t="str">
        <v>All</v>
      </c>
      <c r="X311">
        <f t="shared" ca="1" si="140"/>
        <v>0.17151387548650468</v>
      </c>
      <c r="Z311" s="17">
        <f t="shared" ca="1" si="141"/>
        <v>46213</v>
      </c>
      <c r="AG311" s="33">
        <f t="shared" ca="1" si="142"/>
        <v>0.11253366345759873</v>
      </c>
      <c r="AH311">
        <f t="shared" ca="1" si="143"/>
        <v>7.7627718550659197E-2</v>
      </c>
      <c r="AI311">
        <f t="shared" ca="1" si="144"/>
        <v>7.1050641514801949E-2</v>
      </c>
      <c r="AJ311">
        <f t="shared" ca="1" si="145"/>
        <v>6.6160219134921025E-2</v>
      </c>
      <c r="AK311">
        <f t="shared" ca="1" si="146"/>
        <v>6.0644944395342917E-2</v>
      </c>
    </row>
    <row r="312" spans="1:37" ht="17.25" customHeight="1">
      <c r="A312" s="19"/>
      <c r="B312" s="45" t="s">
        <v>290</v>
      </c>
      <c r="C312" s="28" t="s">
        <v>35</v>
      </c>
      <c r="D312" s="28" t="s">
        <v>36</v>
      </c>
      <c r="E312" s="28" t="s">
        <v>37</v>
      </c>
      <c r="F312" s="36" t="s">
        <v>29</v>
      </c>
      <c r="G312" s="28" t="s">
        <v>38</v>
      </c>
      <c r="H312" s="83" t="str">
        <f>HYPERLINK("https://innovativeincomeinvestor.com/security/gabelli-multimedia-trust-inc-5-125-fixed-rate-cumulative-preferred-stock/","GGT-G")</f>
        <v>GGT-G</v>
      </c>
      <c r="I312" s="47">
        <v>5.1249999999999997E-2</v>
      </c>
      <c r="J312" s="65">
        <f ca="1">IFERROR(__xludf.DUMMYFUNCTION("GoogleFinance(H312)"),22.69)</f>
        <v>22.69</v>
      </c>
      <c r="K312" s="48">
        <f ca="1">IFERROR(__xludf.DUMMYFUNCTION("googlefinance(H312,""change"")"),0.36)</f>
        <v>0.36</v>
      </c>
      <c r="L312" s="27">
        <f t="shared" ca="1" si="167"/>
        <v>5.6467606875275446E-2</v>
      </c>
      <c r="M312" s="27">
        <f t="shared" ca="1" si="169"/>
        <v>9.2399999999999954E-2</v>
      </c>
      <c r="N312" s="28" t="s">
        <v>39</v>
      </c>
      <c r="O312" s="28" t="s">
        <v>32</v>
      </c>
      <c r="P312" s="28" t="s">
        <v>40</v>
      </c>
      <c r="Q312" s="29">
        <f t="shared" si="170"/>
        <v>0.3203125</v>
      </c>
      <c r="R312" s="64">
        <v>45646</v>
      </c>
      <c r="S312" s="54" t="s">
        <v>41</v>
      </c>
      <c r="T312" s="62" t="s">
        <v>130</v>
      </c>
      <c r="U312" s="16">
        <f t="shared" ca="1" si="151"/>
        <v>-0.55342465753424652</v>
      </c>
      <c r="V312" s="11" t="str">
        <v>All</v>
      </c>
      <c r="X312">
        <f t="shared" ca="1" si="140"/>
        <v>0.15262931421424478</v>
      </c>
      <c r="Z312" s="17">
        <f t="shared" ca="1" si="141"/>
        <v>46213</v>
      </c>
      <c r="AG312" s="33">
        <f t="shared" ca="1" si="142"/>
        <v>0.1029598969345898</v>
      </c>
      <c r="AH312">
        <f t="shared" ca="1" si="143"/>
        <v>7.3511162674044714E-2</v>
      </c>
      <c r="AI312">
        <f t="shared" ca="1" si="144"/>
        <v>6.7957319031126937E-2</v>
      </c>
      <c r="AJ312">
        <f t="shared" ca="1" si="145"/>
        <v>6.3826145439952478E-2</v>
      </c>
      <c r="AK312">
        <f t="shared" ca="1" si="146"/>
        <v>5.9163061834086907E-2</v>
      </c>
    </row>
    <row r="313" spans="1:37" ht="17.25" customHeight="1">
      <c r="A313" s="19"/>
      <c r="B313" s="45" t="s">
        <v>291</v>
      </c>
      <c r="C313" s="28" t="s">
        <v>35</v>
      </c>
      <c r="D313" s="28" t="s">
        <v>36</v>
      </c>
      <c r="E313" s="28" t="s">
        <v>37</v>
      </c>
      <c r="F313" s="36" t="s">
        <v>29</v>
      </c>
      <c r="G313" s="28" t="s">
        <v>38</v>
      </c>
      <c r="H313" s="66" t="str">
        <f>HYPERLINK("https://innovativeincomeinvestor.com/security/gabelli-multimedia-trust-5-125-series-e-cumulative-preferred-shares/","GGT-E")</f>
        <v>GGT-E</v>
      </c>
      <c r="I313" s="47">
        <v>5.1249999999999997E-2</v>
      </c>
      <c r="J313" s="65">
        <f ca="1">IFERROR(__xludf.DUMMYFUNCTION("GoogleFinance(H313)"),22.29)</f>
        <v>22.29</v>
      </c>
      <c r="K313" s="48">
        <f ca="1">IFERROR(__xludf.DUMMYFUNCTION("googlefinance(H313,""change"")"),0.04)</f>
        <v>0.04</v>
      </c>
      <c r="L313" s="27">
        <f t="shared" ca="1" si="167"/>
        <v>5.7480933153880663E-2</v>
      </c>
      <c r="M313" s="27">
        <f t="shared" ca="1" si="169"/>
        <v>0.10840000000000004</v>
      </c>
      <c r="N313" s="28" t="s">
        <v>39</v>
      </c>
      <c r="O313" s="28" t="s">
        <v>32</v>
      </c>
      <c r="P313" s="28" t="s">
        <v>40</v>
      </c>
      <c r="Q313" s="29">
        <f t="shared" si="170"/>
        <v>0.3203125</v>
      </c>
      <c r="R313" s="64">
        <v>44830</v>
      </c>
      <c r="S313" s="54" t="s">
        <v>41</v>
      </c>
      <c r="T313" s="62" t="s">
        <v>130</v>
      </c>
      <c r="U313" s="16">
        <f t="shared" ca="1" si="151"/>
        <v>-2.7890410958904108</v>
      </c>
      <c r="V313" s="11" t="str">
        <v>All</v>
      </c>
      <c r="X313">
        <f t="shared" ca="1" si="140"/>
        <v>0.17151387548650468</v>
      </c>
      <c r="Z313" s="17">
        <f t="shared" ca="1" si="141"/>
        <v>46213</v>
      </c>
      <c r="AG313" s="33">
        <f t="shared" ca="1" si="142"/>
        <v>0.11253366345759873</v>
      </c>
      <c r="AH313">
        <f t="shared" ca="1" si="143"/>
        <v>7.7627718550659197E-2</v>
      </c>
      <c r="AI313">
        <f t="shared" ca="1" si="144"/>
        <v>7.1050641514801949E-2</v>
      </c>
      <c r="AJ313">
        <f t="shared" ca="1" si="145"/>
        <v>6.6160219134921025E-2</v>
      </c>
      <c r="AK313">
        <f t="shared" ca="1" si="146"/>
        <v>6.0644944395342917E-2</v>
      </c>
    </row>
    <row r="314" spans="1:37" ht="17.25" customHeight="1">
      <c r="A314" s="19"/>
      <c r="B314" s="45" t="s">
        <v>292</v>
      </c>
      <c r="C314" s="28" t="s">
        <v>35</v>
      </c>
      <c r="D314" s="28" t="s">
        <v>36</v>
      </c>
      <c r="E314" s="28" t="s">
        <v>37</v>
      </c>
      <c r="F314" s="36" t="s">
        <v>29</v>
      </c>
      <c r="G314" s="28" t="s">
        <v>38</v>
      </c>
      <c r="H314" s="66" t="str">
        <f>HYPERLINK("https://innovativeincomeinvestor.com/security/gabelli-utility-trust-5-375-series-c-cumulative-preferred-shares/","GUT-C")</f>
        <v>GUT-C</v>
      </c>
      <c r="I314" s="47">
        <v>5.3749999999999999E-2</v>
      </c>
      <c r="J314" s="65">
        <f ca="1">IFERROR(__xludf.DUMMYFUNCTION("GoogleFinance(H314)"),22.64)</f>
        <v>22.64</v>
      </c>
      <c r="K314" s="48">
        <f ca="1">IFERROR(__xludf.DUMMYFUNCTION("googlefinance(H314,""change"")"),0.07)</f>
        <v>7.0000000000000007E-2</v>
      </c>
      <c r="L314" s="27">
        <f t="shared" ca="1" si="167"/>
        <v>5.9352915194346288E-2</v>
      </c>
      <c r="M314" s="27">
        <f t="shared" ca="1" si="169"/>
        <v>9.4399999999999984E-2</v>
      </c>
      <c r="N314" s="28" t="s">
        <v>39</v>
      </c>
      <c r="O314" s="28" t="s">
        <v>32</v>
      </c>
      <c r="P314" s="28" t="s">
        <v>129</v>
      </c>
      <c r="Q314" s="29">
        <f t="shared" si="170"/>
        <v>0.3359375</v>
      </c>
      <c r="R314" s="82">
        <v>44347</v>
      </c>
      <c r="S314" s="54" t="s">
        <v>41</v>
      </c>
      <c r="T314" s="62" t="s">
        <v>130</v>
      </c>
      <c r="U314" s="16">
        <f t="shared" ca="1" si="151"/>
        <v>-4.1123287671232873</v>
      </c>
      <c r="V314" s="11" t="str">
        <v>All</v>
      </c>
      <c r="X314">
        <f t="shared" ca="1" si="140"/>
        <v>0.15762981214817021</v>
      </c>
      <c r="Z314" s="17">
        <f t="shared" ca="1" si="141"/>
        <v>46213</v>
      </c>
      <c r="AG314" s="33">
        <f t="shared" ca="1" si="142"/>
        <v>0.10679500453506748</v>
      </c>
      <c r="AH314">
        <f t="shared" ca="1" si="143"/>
        <v>7.6667669032359331E-2</v>
      </c>
      <c r="AI314">
        <f t="shared" ca="1" si="144"/>
        <v>7.0989847550269547E-2</v>
      </c>
      <c r="AJ314">
        <f t="shared" ca="1" si="145"/>
        <v>6.6770200085879333E-2</v>
      </c>
      <c r="AK314">
        <f t="shared" ca="1" si="146"/>
        <v>6.2022339215447808E-2</v>
      </c>
    </row>
    <row r="315" spans="1:37" ht="17.25" customHeight="1">
      <c r="A315" s="19"/>
      <c r="B315" s="45" t="s">
        <v>293</v>
      </c>
      <c r="C315" s="28" t="s">
        <v>35</v>
      </c>
      <c r="D315" s="28" t="s">
        <v>36</v>
      </c>
      <c r="E315" s="28" t="s">
        <v>37</v>
      </c>
      <c r="F315" s="36" t="s">
        <v>29</v>
      </c>
      <c r="G315" s="28" t="s">
        <v>38</v>
      </c>
      <c r="H315" s="66" t="str">
        <f>HYPERLINK("https://innovativeincomeinvestor.com/security/gamco-global-gold-nat-res-inc-trust-5-series-b-cumul-preferred-shares/","GGN-B")</f>
        <v>GGN-B</v>
      </c>
      <c r="I315" s="47">
        <v>0.05</v>
      </c>
      <c r="J315" s="65">
        <f ca="1">IFERROR(__xludf.DUMMYFUNCTION("GoogleFinance(H315)"),20.55)</f>
        <v>20.55</v>
      </c>
      <c r="K315" s="48">
        <f ca="1">IFERROR(__xludf.DUMMYFUNCTION("googlefinance(H315,""change"")"),-0.14)</f>
        <v>-0.14000000000000001</v>
      </c>
      <c r="L315" s="27">
        <f t="shared" ca="1" si="167"/>
        <v>6.0827250608272501E-2</v>
      </c>
      <c r="M315" s="27">
        <f t="shared" ca="1" si="169"/>
        <v>0.17799999999999996</v>
      </c>
      <c r="N315" s="28" t="s">
        <v>39</v>
      </c>
      <c r="O315" s="28" t="s">
        <v>32</v>
      </c>
      <c r="P315" s="28" t="s">
        <v>40</v>
      </c>
      <c r="Q315" s="29">
        <f t="shared" si="170"/>
        <v>0.3125</v>
      </c>
      <c r="R315" s="64">
        <v>43227</v>
      </c>
      <c r="S315" s="54" t="s">
        <v>41</v>
      </c>
      <c r="T315" s="62" t="s">
        <v>130</v>
      </c>
      <c r="U315" s="16">
        <f t="shared" ca="1" si="151"/>
        <v>-7.1808219178082195</v>
      </c>
      <c r="V315" s="11" t="str">
        <v>All</v>
      </c>
      <c r="X315">
        <f t="shared" ca="1" si="140"/>
        <v>0.25754478628067018</v>
      </c>
      <c r="Z315" s="17">
        <f t="shared" ca="1" si="141"/>
        <v>46213</v>
      </c>
      <c r="AG315" s="33">
        <f t="shared" ca="1" si="142"/>
        <v>0.15523190762522215</v>
      </c>
      <c r="AH315">
        <f t="shared" ca="1" si="143"/>
        <v>9.5172999330196906E-2</v>
      </c>
      <c r="AI315">
        <f t="shared" ca="1" si="144"/>
        <v>8.3900049852323008E-2</v>
      </c>
      <c r="AJ315">
        <f t="shared" ca="1" si="145"/>
        <v>7.5529403316912797E-2</v>
      </c>
      <c r="AK315">
        <f t="shared" ca="1" si="146"/>
        <v>6.6113029971790985E-2</v>
      </c>
    </row>
    <row r="316" spans="1:37" ht="17.25" customHeight="1">
      <c r="A316" s="19"/>
      <c r="B316" s="45" t="s">
        <v>294</v>
      </c>
      <c r="C316" s="28" t="s">
        <v>35</v>
      </c>
      <c r="D316" s="28" t="s">
        <v>36</v>
      </c>
      <c r="E316" s="28" t="s">
        <v>37</v>
      </c>
      <c r="F316" s="36" t="s">
        <v>29</v>
      </c>
      <c r="G316" s="28" t="s">
        <v>38</v>
      </c>
      <c r="H316" s="66" t="str">
        <f>HYPERLINK("https://innovativeincomeinvestor.com/security/gamco-natural-resources-gold-and-income-fund-5-20-cumulative-preferred-shares/","GNT-A")</f>
        <v>GNT-A</v>
      </c>
      <c r="I316" s="47">
        <v>5.1999999999999998E-2</v>
      </c>
      <c r="J316" s="25">
        <f ca="1">IFERROR(__xludf.DUMMYFUNCTION("GoogleFinance(H316)"),21.3)</f>
        <v>21.3</v>
      </c>
      <c r="K316" s="67">
        <f ca="1">IFERROR(__xludf.DUMMYFUNCTION("googlefinance(H316,""change"")"),-0.03)</f>
        <v>-0.03</v>
      </c>
      <c r="L316" s="27">
        <f t="shared" ca="1" si="167"/>
        <v>6.1032863849765258E-2</v>
      </c>
      <c r="M316" s="27">
        <f t="shared" ca="1" si="169"/>
        <v>0.14799999999999996</v>
      </c>
      <c r="N316" s="28" t="s">
        <v>39</v>
      </c>
      <c r="O316" s="28" t="s">
        <v>32</v>
      </c>
      <c r="P316" s="28" t="s">
        <v>40</v>
      </c>
      <c r="Q316" s="29">
        <f t="shared" si="170"/>
        <v>0.32500000000000001</v>
      </c>
      <c r="R316" s="64">
        <v>44860</v>
      </c>
      <c r="S316" s="54" t="s">
        <v>41</v>
      </c>
      <c r="T316" s="62" t="s">
        <v>130</v>
      </c>
      <c r="U316" s="16">
        <f t="shared" ca="1" si="151"/>
        <v>-2.7068493150684931</v>
      </c>
      <c r="V316" s="11" t="str">
        <v>All</v>
      </c>
      <c r="X316">
        <f t="shared" ca="1" si="140"/>
        <v>0.22099083249374782</v>
      </c>
      <c r="Z316" s="17">
        <f t="shared" ca="1" si="141"/>
        <v>46213</v>
      </c>
      <c r="AG316" s="33">
        <f t="shared" ca="1" si="142"/>
        <v>0.13793688301204921</v>
      </c>
      <c r="AH316">
        <f t="shared" ca="1" si="143"/>
        <v>8.9012752245443513E-2</v>
      </c>
      <c r="AI316">
        <f t="shared" ca="1" si="144"/>
        <v>7.9817453102642766E-2</v>
      </c>
      <c r="AJ316">
        <f t="shared" ca="1" si="145"/>
        <v>7.2988902431468022E-2</v>
      </c>
      <c r="AK316">
        <f t="shared" ca="1" si="146"/>
        <v>6.5313088837547023E-2</v>
      </c>
    </row>
    <row r="317" spans="1:37" ht="17.25" customHeight="1">
      <c r="A317" s="19"/>
      <c r="B317" s="45" t="s">
        <v>295</v>
      </c>
      <c r="C317" s="28" t="s">
        <v>35</v>
      </c>
      <c r="D317" s="28" t="s">
        <v>35</v>
      </c>
      <c r="E317" s="28" t="s">
        <v>119</v>
      </c>
      <c r="F317" s="36" t="s">
        <v>29</v>
      </c>
      <c r="G317" s="28" t="s">
        <v>38</v>
      </c>
      <c r="H317" s="66" t="str">
        <f>HYPERLINK("https://innovativeincomeinvestor.com/security/gaslog-ltd-8-75-series-a-cumulative-redeemable-perpetual-preference-shares/","GLOG-A")</f>
        <v>GLOG-A</v>
      </c>
      <c r="I317" s="47">
        <v>8.7499999999999994E-2</v>
      </c>
      <c r="J317" s="86" t="s">
        <v>68</v>
      </c>
      <c r="K317" s="86" t="s">
        <v>68</v>
      </c>
      <c r="L317" s="86" t="s">
        <v>68</v>
      </c>
      <c r="M317" s="86" t="s">
        <v>68</v>
      </c>
      <c r="N317" s="28" t="s">
        <v>31</v>
      </c>
      <c r="O317" s="28" t="s">
        <v>32</v>
      </c>
      <c r="P317" s="28" t="s">
        <v>32</v>
      </c>
      <c r="Q317" s="29">
        <f t="shared" si="170"/>
        <v>0.546875</v>
      </c>
      <c r="R317" s="64">
        <v>43928</v>
      </c>
      <c r="S317" s="54" t="s">
        <v>41</v>
      </c>
      <c r="T317" s="62" t="s">
        <v>74</v>
      </c>
      <c r="U317" s="16">
        <f t="shared" ca="1" si="151"/>
        <v>-5.2602739726027394</v>
      </c>
      <c r="V317" s="11" t="str">
        <v>All</v>
      </c>
      <c r="X317" t="e">
        <f t="shared" ca="1" si="140"/>
        <v>#VALUE!</v>
      </c>
      <c r="Z317" s="17">
        <f t="shared" ca="1" si="141"/>
        <v>46213</v>
      </c>
      <c r="AG317" s="33" t="e">
        <f t="shared" ca="1" si="142"/>
        <v>#VALUE!</v>
      </c>
      <c r="AH317" t="e">
        <f t="shared" ca="1" si="143"/>
        <v>#VALUE!</v>
      </c>
      <c r="AI317" t="e">
        <f t="shared" ca="1" si="144"/>
        <v>#VALUE!</v>
      </c>
      <c r="AJ317" t="e">
        <f t="shared" ca="1" si="145"/>
        <v>#VALUE!</v>
      </c>
      <c r="AK317" t="e">
        <f t="shared" ca="1" si="146"/>
        <v>#VALUE!</v>
      </c>
    </row>
    <row r="318" spans="1:37" ht="17.25" customHeight="1">
      <c r="A318" s="19"/>
      <c r="B318" s="45" t="s">
        <v>296</v>
      </c>
      <c r="C318" s="28" t="s">
        <v>35</v>
      </c>
      <c r="D318" s="28" t="s">
        <v>35</v>
      </c>
      <c r="E318" s="28" t="s">
        <v>119</v>
      </c>
      <c r="F318" s="28" t="s">
        <v>46</v>
      </c>
      <c r="G318" s="28" t="s">
        <v>38</v>
      </c>
      <c r="H318" s="66" t="str">
        <f>HYPERLINK("https://innovativeincomeinvestor.com/security/gaslog-partners-lp-8-625-series-a-cumulative-redeemable-perpetual-fixed-to-floating-rates-preference-units/","GLOP-A")</f>
        <v>GLOP-A</v>
      </c>
      <c r="I318" s="47">
        <v>8.6249999999999993E-2</v>
      </c>
      <c r="J318" s="65">
        <f ca="1">IFERROR(__xludf.DUMMYFUNCTION("GoogleFinance(H318)"),25.85)</f>
        <v>25.85</v>
      </c>
      <c r="K318" s="48">
        <f ca="1">IFERROR(__xludf.DUMMYFUNCTION("googlefinance(H318,""change"")"),-0.09)</f>
        <v>-0.09</v>
      </c>
      <c r="L318" s="27">
        <f ca="1">(Q318*4)/J318</f>
        <v>8.341972920696325E-2</v>
      </c>
      <c r="M318" s="27">
        <f t="array" aca="1" ref="M318" ca="1">L318*U318+(25-J318)/25/U318</f>
        <v>0.14352294145182512</v>
      </c>
      <c r="N318" s="28" t="s">
        <v>31</v>
      </c>
      <c r="O318" s="27" t="s">
        <v>32</v>
      </c>
      <c r="P318" s="27" t="s">
        <v>32</v>
      </c>
      <c r="Q318" s="29">
        <v>0.53910000000000002</v>
      </c>
      <c r="R318" s="64">
        <v>46553</v>
      </c>
      <c r="S318" s="54" t="s">
        <v>41</v>
      </c>
      <c r="T318" s="62" t="s">
        <v>52</v>
      </c>
      <c r="U318" s="16">
        <f t="shared" ca="1" si="151"/>
        <v>1.9315068493150684</v>
      </c>
      <c r="V318" s="11" t="str">
        <v>All</v>
      </c>
      <c r="X318">
        <f t="shared" ca="1" si="140"/>
        <v>5.1156027560115627E-2</v>
      </c>
      <c r="Z318" s="17">
        <f t="shared" ca="1" si="141"/>
        <v>46213</v>
      </c>
      <c r="AG318" s="33">
        <f t="shared" ca="1" si="142"/>
        <v>6.7925413680443567E-2</v>
      </c>
      <c r="AH318">
        <f t="shared" ca="1" si="143"/>
        <v>7.7969058905166616E-2</v>
      </c>
      <c r="AI318">
        <f t="shared" ca="1" si="144"/>
        <v>7.9857683755858611E-2</v>
      </c>
      <c r="AJ318">
        <f t="shared" ca="1" si="145"/>
        <v>8.1248660231213896E-2</v>
      </c>
      <c r="AK318">
        <f t="shared" ca="1" si="146"/>
        <v>8.2755517284485491E-2</v>
      </c>
    </row>
    <row r="319" spans="1:37" ht="17.25" customHeight="1">
      <c r="A319" s="19"/>
      <c r="B319" s="45" t="s">
        <v>296</v>
      </c>
      <c r="C319" s="28" t="s">
        <v>35</v>
      </c>
      <c r="D319" s="28" t="s">
        <v>35</v>
      </c>
      <c r="E319" s="28" t="s">
        <v>119</v>
      </c>
      <c r="F319" s="28" t="s">
        <v>46</v>
      </c>
      <c r="G319" s="28" t="s">
        <v>38</v>
      </c>
      <c r="H319" s="66" t="str">
        <f>HYPERLINK("https://innovativeincomeinvestor.com/security/gaslog-partners-lp-8-50-series-c-cumulative-redeemable-perpetual-fixed-to-floating-rate-preference-units/","GLOP-C")</f>
        <v>GLOP-C</v>
      </c>
      <c r="I319" s="47">
        <v>8.5000000000000006E-2</v>
      </c>
      <c r="J319" s="65">
        <f ca="1">IFERROR(__xludf.DUMMYFUNCTION("GoogleFinance(H319)"),26.11)</f>
        <v>26.11</v>
      </c>
      <c r="K319" s="48">
        <f ca="1">IFERROR(__xludf.DUMMYFUNCTION("googlefinance(H319,""change"")"),0.41)</f>
        <v>0.41</v>
      </c>
      <c r="L319" s="52" t="s">
        <v>47</v>
      </c>
      <c r="M319" s="52" t="s">
        <v>47</v>
      </c>
      <c r="N319" s="28" t="s">
        <v>31</v>
      </c>
      <c r="O319" s="27" t="s">
        <v>32</v>
      </c>
      <c r="P319" s="27" t="s">
        <v>32</v>
      </c>
      <c r="Q319" s="52" t="s">
        <v>47</v>
      </c>
      <c r="R319" s="64">
        <v>45366</v>
      </c>
      <c r="S319" s="54" t="s">
        <v>41</v>
      </c>
      <c r="T319" s="62" t="s">
        <v>52</v>
      </c>
      <c r="U319" s="16">
        <f t="shared" ca="1" si="151"/>
        <v>-1.3205479452054794</v>
      </c>
      <c r="V319" s="11" t="str">
        <v>All</v>
      </c>
      <c r="X319">
        <f t="shared" ca="1" si="140"/>
        <v>3.9498530749195439E-2</v>
      </c>
      <c r="Z319" s="17">
        <f t="shared" ca="1" si="141"/>
        <v>46213</v>
      </c>
      <c r="AG319" s="33">
        <f t="shared" ca="1" si="142"/>
        <v>6.124333957799924E-2</v>
      </c>
      <c r="AH319">
        <f t="shared" ca="1" si="143"/>
        <v>7.4282371114157392E-2</v>
      </c>
      <c r="AI319">
        <f t="shared" ca="1" si="144"/>
        <v>7.6736794930843233E-2</v>
      </c>
      <c r="AJ319">
        <f t="shared" ca="1" si="145"/>
        <v>7.8545995384529957E-2</v>
      </c>
      <c r="AK319">
        <f t="shared" ca="1" si="146"/>
        <v>8.0512034028286661E-2</v>
      </c>
    </row>
    <row r="320" spans="1:37" ht="17.25" customHeight="1">
      <c r="A320" s="19"/>
      <c r="B320" s="45" t="s">
        <v>296</v>
      </c>
      <c r="C320" s="28" t="s">
        <v>35</v>
      </c>
      <c r="D320" s="28" t="s">
        <v>35</v>
      </c>
      <c r="E320" s="28" t="s">
        <v>119</v>
      </c>
      <c r="F320" s="28" t="s">
        <v>46</v>
      </c>
      <c r="G320" s="28" t="s">
        <v>38</v>
      </c>
      <c r="H320" s="51" t="str">
        <f>HYPERLINK("https://innovativeincomeinvestor.com/security/gaslog-partners-lp-8-20-series-b-cumulative-redeemable-perpetual-fixed-to-floating-rate-preference-units/","GLOP-B")</f>
        <v>GLOP-B</v>
      </c>
      <c r="I320" s="47">
        <v>8.2000000000000003E-2</v>
      </c>
      <c r="J320" s="25">
        <f ca="1">IFERROR(__xludf.DUMMYFUNCTION("GoogleFinance(H320)"),25.74)</f>
        <v>25.74</v>
      </c>
      <c r="K320" s="48">
        <f ca="1">IFERROR(__xludf.DUMMYFUNCTION("googlefinance(H320,""change"")"),-0.1)</f>
        <v>-0.1</v>
      </c>
      <c r="L320" s="52" t="s">
        <v>47</v>
      </c>
      <c r="M320" s="52" t="s">
        <v>47</v>
      </c>
      <c r="N320" s="28" t="s">
        <v>31</v>
      </c>
      <c r="O320" s="27" t="s">
        <v>32</v>
      </c>
      <c r="P320" s="27" t="s">
        <v>32</v>
      </c>
      <c r="Q320" s="52" t="s">
        <v>47</v>
      </c>
      <c r="R320" s="64">
        <v>45000</v>
      </c>
      <c r="S320" s="54" t="s">
        <v>41</v>
      </c>
      <c r="T320" s="62" t="s">
        <v>52</v>
      </c>
      <c r="U320" s="16">
        <f t="shared" ca="1" si="151"/>
        <v>-2.3232876712328765</v>
      </c>
      <c r="V320" s="11" t="str">
        <v>All</v>
      </c>
      <c r="X320">
        <f t="shared" ca="1" si="140"/>
        <v>5.1442238311256258E-2</v>
      </c>
      <c r="Z320" s="17">
        <f t="shared" ca="1" si="141"/>
        <v>46213</v>
      </c>
      <c r="AG320" s="33">
        <f t="shared" ca="1" si="142"/>
        <v>6.6078763594882822E-2</v>
      </c>
      <c r="AH320">
        <f t="shared" ca="1" si="143"/>
        <v>7.4844999260522474E-2</v>
      </c>
      <c r="AI320">
        <f t="shared" ca="1" si="144"/>
        <v>7.6495282075486615E-2</v>
      </c>
      <c r="AJ320">
        <f t="shared" ca="1" si="145"/>
        <v>7.7712883277368597E-2</v>
      </c>
      <c r="AK320">
        <f t="shared" ca="1" si="146"/>
        <v>7.9040310676689679E-2</v>
      </c>
    </row>
    <row r="321" spans="1:37" ht="17.25" customHeight="1">
      <c r="A321" s="19"/>
      <c r="B321" s="45" t="s">
        <v>297</v>
      </c>
      <c r="C321" s="28" t="s">
        <v>35</v>
      </c>
      <c r="D321" s="28" t="s">
        <v>27</v>
      </c>
      <c r="E321" s="28" t="s">
        <v>37</v>
      </c>
      <c r="F321" s="36" t="s">
        <v>29</v>
      </c>
      <c r="G321" s="28" t="s">
        <v>38</v>
      </c>
      <c r="H321" s="66" t="str">
        <f>HYPERLINK("https://innovativeincomeinvestor.com/security/general-american-investors-5-95-cumulative-preferred-stock-series-b/","GAM-B")</f>
        <v>GAM-B</v>
      </c>
      <c r="I321" s="47">
        <v>5.9499999999999997E-2</v>
      </c>
      <c r="J321" s="25">
        <f ca="1">IFERROR(__xludf.DUMMYFUNCTION("GoogleFinance(H321)"),24.79)</f>
        <v>24.79</v>
      </c>
      <c r="K321" s="67">
        <f ca="1">IFERROR(__xludf.DUMMYFUNCTION("googlefinance(H321,""change"")"),-0.02)</f>
        <v>-0.02</v>
      </c>
      <c r="L321" s="27">
        <f t="shared" ref="L321:L323" ca="1" si="171">(Q321*4)/J321</f>
        <v>6.0004033884630895E-2</v>
      </c>
      <c r="M321" s="27">
        <f t="shared" ref="M321:M322" ca="1" si="172">(25-J321)/25</f>
        <v>8.4000000000000342E-3</v>
      </c>
      <c r="N321" s="28" t="s">
        <v>31</v>
      </c>
      <c r="O321" s="28" t="s">
        <v>32</v>
      </c>
      <c r="P321" s="28" t="s">
        <v>32</v>
      </c>
      <c r="Q321" s="29">
        <f>(I321*25)/4</f>
        <v>0.37187499999999996</v>
      </c>
      <c r="R321" s="64">
        <v>39715</v>
      </c>
      <c r="S321" s="54" t="s">
        <v>41</v>
      </c>
      <c r="T321" s="62" t="s">
        <v>298</v>
      </c>
      <c r="U321" s="16">
        <f t="shared" ca="1" si="151"/>
        <v>-16.802739726027397</v>
      </c>
      <c r="V321" s="11" t="str">
        <v>All</v>
      </c>
      <c r="X321">
        <f t="shared" ca="1" si="140"/>
        <v>6.8261404202513004E-2</v>
      </c>
      <c r="Z321" s="17">
        <f t="shared" ca="1" si="141"/>
        <v>46213</v>
      </c>
      <c r="AG321" s="33">
        <f t="shared" ca="1" si="142"/>
        <v>6.4008037969411014E-2</v>
      </c>
      <c r="AH321">
        <f t="shared" ca="1" si="143"/>
        <v>6.1464771639917835E-2</v>
      </c>
      <c r="AI321">
        <f t="shared" ca="1" si="144"/>
        <v>6.0983803444237254E-2</v>
      </c>
      <c r="AJ321">
        <f t="shared" ca="1" si="145"/>
        <v>6.0626495490328072E-2</v>
      </c>
      <c r="AK321">
        <f t="shared" ca="1" si="146"/>
        <v>6.0225097381815515E-2</v>
      </c>
    </row>
    <row r="322" spans="1:37" ht="17.25" customHeight="1">
      <c r="A322" s="68"/>
      <c r="B322" s="69" t="s">
        <v>299</v>
      </c>
      <c r="C322" s="28" t="s">
        <v>27</v>
      </c>
      <c r="D322" s="28" t="s">
        <v>27</v>
      </c>
      <c r="E322" s="28" t="s">
        <v>73</v>
      </c>
      <c r="F322" s="36" t="s">
        <v>29</v>
      </c>
      <c r="G322" s="28" t="s">
        <v>30</v>
      </c>
      <c r="H322" s="66" t="str">
        <f>HYPERLINK("https://innovativeincomeinvestor.com/security/georgia-power-company-series-2017a-5-00-junior-subordinated-notes-due-october-1-2077/","GPJA")</f>
        <v>GPJA</v>
      </c>
      <c r="I322" s="47">
        <v>0.05</v>
      </c>
      <c r="J322" s="150">
        <f ca="1">IFERROR(__xludf.DUMMYFUNCTION("importxml(""https://bigcharts.marketwatch.com/quickchart/quickchart.asp?symb=GPJA&amp;insttype=Stock"",""/html/body/div[1]/div[2]/table/tbody/tr/td[1]/table/tbody/tr[3]/td[1]/div"")"),21.02)</f>
        <v>21.02</v>
      </c>
      <c r="K322" s="26">
        <f ca="1">IFERROR(__xludf.DUMMYFUNCTION("GOOGLEFINANCE(H322,""change"")"),-0.11)</f>
        <v>-0.11</v>
      </c>
      <c r="L322" s="27">
        <f t="shared" ca="1" si="171"/>
        <v>5.9467174119885821E-2</v>
      </c>
      <c r="M322" s="27">
        <f t="shared" ca="1" si="172"/>
        <v>0.15920000000000001</v>
      </c>
      <c r="N322" s="28" t="s">
        <v>39</v>
      </c>
      <c r="O322" s="28" t="s">
        <v>50</v>
      </c>
      <c r="P322" s="28" t="s">
        <v>51</v>
      </c>
      <c r="Q322" s="65">
        <v>0.3125</v>
      </c>
      <c r="R322" s="64">
        <v>44835</v>
      </c>
      <c r="S322" s="64">
        <v>64924</v>
      </c>
      <c r="T322" s="62" t="s">
        <v>74</v>
      </c>
      <c r="U322" s="16">
        <f t="shared" ca="1" si="151"/>
        <v>-2.7753424657534245</v>
      </c>
      <c r="V322" s="11" t="str">
        <v>All</v>
      </c>
      <c r="X322">
        <f t="shared" ca="1" si="140"/>
        <v>0.23304379003900225</v>
      </c>
      <c r="Z322" s="17">
        <f t="shared" ca="1" si="141"/>
        <v>46213</v>
      </c>
      <c r="AG322" s="33">
        <f t="shared" ca="1" si="142"/>
        <v>0.14292219482496468</v>
      </c>
      <c r="AH322">
        <f t="shared" ca="1" si="143"/>
        <v>8.9897981594949564E-2</v>
      </c>
      <c r="AI322">
        <f t="shared" ca="1" si="144"/>
        <v>7.9933898222100105E-2</v>
      </c>
      <c r="AJ322">
        <f t="shared" ca="1" si="145"/>
        <v>7.2531413231909508E-2</v>
      </c>
      <c r="AK322">
        <f t="shared" ca="1" si="146"/>
        <v>6.419450090076026E-2</v>
      </c>
    </row>
    <row r="323" spans="1:37" ht="17.25" customHeight="1">
      <c r="A323" s="19"/>
      <c r="B323" s="186" t="s">
        <v>300</v>
      </c>
      <c r="C323" s="89" t="s">
        <v>27</v>
      </c>
      <c r="D323" s="89" t="s">
        <v>27</v>
      </c>
      <c r="E323" s="89" t="s">
        <v>171</v>
      </c>
      <c r="F323" s="89" t="s">
        <v>29</v>
      </c>
      <c r="G323" s="89" t="s">
        <v>30</v>
      </c>
      <c r="H323" s="119" t="str">
        <f>HYPERLINK("https://innovativeincomeinvestor.com/security/gladstone-capital-corporation-7-75-notes-due-2028/","GLADZ")</f>
        <v>GLADZ</v>
      </c>
      <c r="I323" s="187">
        <v>7.7499999999999999E-2</v>
      </c>
      <c r="J323" s="96">
        <f ca="1">IFERROR(__xludf.DUMMYFUNCTION("GoogleFinance(H323)"),25.45)</f>
        <v>25.45</v>
      </c>
      <c r="K323" s="188">
        <f ca="1">IFERROR(__xludf.DUMMYFUNCTION("googlefinance(H323,""change"")"),0)</f>
        <v>0</v>
      </c>
      <c r="L323" s="97">
        <f t="shared" ca="1" si="171"/>
        <v>7.6070726915520623E-2</v>
      </c>
      <c r="M323" s="27">
        <f t="shared" ref="M323:M325" ca="1" si="173">L323*U323+(25-J323)/25/U323</f>
        <v>-0.1129163777769087</v>
      </c>
      <c r="N323" s="89" t="s">
        <v>31</v>
      </c>
      <c r="O323" s="97" t="s">
        <v>32</v>
      </c>
      <c r="P323" s="97" t="s">
        <v>32</v>
      </c>
      <c r="Q323" s="91">
        <v>0.48399999999999999</v>
      </c>
      <c r="R323" s="92">
        <v>45901</v>
      </c>
      <c r="S323" s="189">
        <v>46997</v>
      </c>
      <c r="T323" s="93" t="s">
        <v>81</v>
      </c>
      <c r="U323" s="16">
        <f t="shared" ca="1" si="151"/>
        <v>0.14520547945205478</v>
      </c>
      <c r="V323" s="13" t="str">
        <v>All</v>
      </c>
      <c r="X323">
        <f t="shared" ref="X323:X386" ca="1" si="174">YIELD($W$1,Z323,I323,J323*4,100,4,0)</f>
        <v>5.8833293655184318E-2</v>
      </c>
      <c r="Z323" s="17">
        <f t="shared" ref="Z323:Z386" ca="1" si="175">TODAY()+($Z$1*$Y$1)</f>
        <v>46213</v>
      </c>
      <c r="AG323" s="33">
        <f t="shared" ref="AG323:AG386" ca="1" si="176">YIELD($W$1,$AA$2,I323,J323*4,100,4,0)</f>
        <v>6.7800067133412009E-2</v>
      </c>
      <c r="AH323">
        <f t="shared" ref="AH323:AH386" ca="1" si="177">YIELD($W$1,$AB$2,I323,J323*4,100,4,0)</f>
        <v>7.3166515042004665E-2</v>
      </c>
      <c r="AI323">
        <f t="shared" ref="AI323:AI386" ca="1" si="178">YIELD($W$1,$AC$2,I323,J323*4,100,4,0)</f>
        <v>7.4177482168590325E-2</v>
      </c>
      <c r="AJ323">
        <f t="shared" ref="AJ323:AJ386" ca="1" si="179">YIELD($W$1,$AD$2,I323,J323*4,100,4,0)</f>
        <v>7.4924679629702673E-2</v>
      </c>
      <c r="AK323">
        <f t="shared" ref="AK323:AK386" ca="1" si="180">YIELD($W$1,$AE$2,I323,J323*4,100,4,0)</f>
        <v>7.5743927923913976E-2</v>
      </c>
    </row>
    <row r="324" spans="1:37" ht="17.25" customHeight="1">
      <c r="A324" s="19"/>
      <c r="B324" s="100" t="s">
        <v>301</v>
      </c>
      <c r="C324" s="71" t="s">
        <v>35</v>
      </c>
      <c r="D324" s="71" t="s">
        <v>27</v>
      </c>
      <c r="E324" s="71" t="s">
        <v>63</v>
      </c>
      <c r="F324" s="71" t="s">
        <v>29</v>
      </c>
      <c r="G324" s="71" t="s">
        <v>38</v>
      </c>
      <c r="H324" s="101" t="str">
        <f>HYPERLINK("https://innovativeincomeinvestor.com/security/gladstone-commercial-6-625-series-e-cumulative-redeemable-preferred-stock/","GOODN")</f>
        <v>GOODN</v>
      </c>
      <c r="I324" s="73">
        <v>6.6250000000000003E-2</v>
      </c>
      <c r="J324" s="74">
        <f ca="1">IFERROR(__xludf.DUMMYFUNCTION("GoogleFinance(H324)"),23.23)</f>
        <v>23.23</v>
      </c>
      <c r="K324" s="102">
        <f ca="1">IFERROR(__xludf.DUMMYFUNCTION("googlefinance(H324,""change"")"),0.01)</f>
        <v>0.01</v>
      </c>
      <c r="L324" s="75">
        <f t="shared" ref="L324:L325" ca="1" si="181">(Q324*12)/J324</f>
        <v>7.1297890658631083E-2</v>
      </c>
      <c r="M324" s="75">
        <f t="shared" ca="1" si="173"/>
        <v>-0.14712259151331566</v>
      </c>
      <c r="N324" s="71" t="s">
        <v>31</v>
      </c>
      <c r="O324" s="75" t="s">
        <v>32</v>
      </c>
      <c r="P324" s="75" t="s">
        <v>32</v>
      </c>
      <c r="Q324" s="76">
        <f>(I324*25)/12</f>
        <v>0.13802083333333334</v>
      </c>
      <c r="R324" s="77">
        <v>45569</v>
      </c>
      <c r="S324" s="71" t="s">
        <v>41</v>
      </c>
      <c r="T324" s="78" t="s">
        <v>178</v>
      </c>
      <c r="U324" s="16">
        <f t="shared" ca="1" si="151"/>
        <v>-0.76438356164383559</v>
      </c>
      <c r="V324" s="11" t="str">
        <v>All</v>
      </c>
      <c r="X324">
        <f t="shared" ca="1" si="174"/>
        <v>0.14351230448503652</v>
      </c>
      <c r="Z324" s="17">
        <f t="shared" ca="1" si="175"/>
        <v>46213</v>
      </c>
      <c r="AG324" s="33">
        <f t="shared" ca="1" si="176"/>
        <v>0.10600017588510668</v>
      </c>
      <c r="AH324">
        <f t="shared" ca="1" si="177"/>
        <v>8.3733347357500862E-2</v>
      </c>
      <c r="AI324">
        <f t="shared" ca="1" si="178"/>
        <v>7.9545125216466256E-2</v>
      </c>
      <c r="AJ324">
        <f t="shared" ca="1" si="179"/>
        <v>7.6445215737138278E-2</v>
      </c>
      <c r="AK324">
        <f t="shared" ca="1" si="180"/>
        <v>7.3010745211233699E-2</v>
      </c>
    </row>
    <row r="325" spans="1:37" ht="17.25" customHeight="1">
      <c r="A325" s="19"/>
      <c r="B325" s="100" t="s">
        <v>301</v>
      </c>
      <c r="C325" s="71" t="s">
        <v>35</v>
      </c>
      <c r="D325" s="71" t="s">
        <v>27</v>
      </c>
      <c r="E325" s="71" t="s">
        <v>63</v>
      </c>
      <c r="F325" s="71" t="s">
        <v>29</v>
      </c>
      <c r="G325" s="71" t="s">
        <v>38</v>
      </c>
      <c r="H325" s="101" t="str">
        <f>HYPERLINK("https://innovativeincomeinvestor.com/security/gladstone-commercial-6-00-series-g-cumulative-redeemable-preferred-stock/","GOODO")</f>
        <v>GOODO</v>
      </c>
      <c r="I325" s="73">
        <v>6.6250000000000003E-2</v>
      </c>
      <c r="J325" s="74">
        <f ca="1">IFERROR(__xludf.DUMMYFUNCTION("GoogleFinance(H325)"),20.62)</f>
        <v>20.62</v>
      </c>
      <c r="K325" s="102">
        <f ca="1">IFERROR(__xludf.DUMMYFUNCTION("googlefinance(H325,""change"")"),0)</f>
        <v>0</v>
      </c>
      <c r="L325" s="75">
        <f t="shared" ca="1" si="181"/>
        <v>7.5654704170708048E-2</v>
      </c>
      <c r="M325" s="75">
        <f t="shared" ca="1" si="173"/>
        <v>0.25432323359080877</v>
      </c>
      <c r="N325" s="71" t="s">
        <v>31</v>
      </c>
      <c r="O325" s="75" t="s">
        <v>32</v>
      </c>
      <c r="P325" s="71" t="s">
        <v>32</v>
      </c>
      <c r="Q325" s="76">
        <v>0.13</v>
      </c>
      <c r="R325" s="77">
        <v>46201</v>
      </c>
      <c r="S325" s="71" t="s">
        <v>41</v>
      </c>
      <c r="T325" s="78" t="s">
        <v>178</v>
      </c>
      <c r="U325" s="16">
        <f t="shared" ca="1" si="151"/>
        <v>0.9671232876712329</v>
      </c>
      <c r="V325" s="11" t="str">
        <v>All</v>
      </c>
      <c r="X325">
        <f t="shared" ca="1" si="174"/>
        <v>0.27224055385021229</v>
      </c>
      <c r="Z325" s="17">
        <f t="shared" ca="1" si="175"/>
        <v>46213</v>
      </c>
      <c r="AG325" s="33">
        <f t="shared" ca="1" si="176"/>
        <v>0.17158694106063677</v>
      </c>
      <c r="AH325">
        <f t="shared" ca="1" si="177"/>
        <v>0.11256789577442686</v>
      </c>
      <c r="AI325">
        <f t="shared" ca="1" si="178"/>
        <v>0.10154041135685524</v>
      </c>
      <c r="AJ325">
        <f t="shared" ca="1" si="179"/>
        <v>9.3406339920465209E-2</v>
      </c>
      <c r="AK325">
        <f t="shared" ca="1" si="180"/>
        <v>8.447855077090298E-2</v>
      </c>
    </row>
    <row r="326" spans="1:37" ht="17.25" customHeight="1">
      <c r="A326" s="68"/>
      <c r="B326" s="69" t="s">
        <v>302</v>
      </c>
      <c r="C326" s="28" t="s">
        <v>27</v>
      </c>
      <c r="D326" s="28" t="s">
        <v>27</v>
      </c>
      <c r="E326" s="28" t="s">
        <v>171</v>
      </c>
      <c r="F326" s="36" t="s">
        <v>29</v>
      </c>
      <c r="G326" s="28" t="s">
        <v>30</v>
      </c>
      <c r="H326" s="23" t="str">
        <f>HYPERLINK("https://innovativeincomeinvestor.com/security/gladstone-investment-corporation-5-00-notes-due-2026/","GAINN")</f>
        <v>GAINN</v>
      </c>
      <c r="I326" s="47">
        <v>0.05</v>
      </c>
      <c r="J326" s="74">
        <f ca="1">IFERROR(__xludf.DUMMYFUNCTION("GoogleFinance(H326)"),25)</f>
        <v>25</v>
      </c>
      <c r="K326" s="102">
        <f ca="1">IFERROR(__xludf.DUMMYFUNCTION("googlefinance(H326,""change"")"),-0.06)</f>
        <v>-0.06</v>
      </c>
      <c r="L326" s="75">
        <f t="shared" ref="L326:L329" ca="1" si="182">(Q326*4)/J326</f>
        <v>0.05</v>
      </c>
      <c r="M326" s="27">
        <f t="shared" ref="M326:M327" ca="1" si="183">(25-J326)/25</f>
        <v>0</v>
      </c>
      <c r="N326" s="28" t="s">
        <v>31</v>
      </c>
      <c r="O326" s="28" t="s">
        <v>32</v>
      </c>
      <c r="P326" s="28" t="s">
        <v>32</v>
      </c>
      <c r="Q326" s="76">
        <v>0.3125</v>
      </c>
      <c r="R326" s="64">
        <v>45047</v>
      </c>
      <c r="S326" s="82">
        <v>46143</v>
      </c>
      <c r="T326" s="62" t="s">
        <v>101</v>
      </c>
      <c r="U326" s="16">
        <f t="shared" ca="1" si="151"/>
        <v>-2.1945205479452055</v>
      </c>
      <c r="V326" s="11" t="str">
        <v>All</v>
      </c>
      <c r="X326">
        <f t="shared" ca="1" si="174"/>
        <v>0.05</v>
      </c>
      <c r="Z326" s="17">
        <f t="shared" ca="1" si="175"/>
        <v>46213</v>
      </c>
      <c r="AG326" s="33">
        <f t="shared" ca="1" si="176"/>
        <v>0.05</v>
      </c>
      <c r="AH326">
        <f t="shared" ca="1" si="177"/>
        <v>4.9999806406973872E-2</v>
      </c>
      <c r="AI326">
        <f t="shared" ca="1" si="178"/>
        <v>4.9999713259749959E-2</v>
      </c>
      <c r="AJ326">
        <f t="shared" ca="1" si="179"/>
        <v>4.9999784928041913E-2</v>
      </c>
      <c r="AK326">
        <f t="shared" ca="1" si="180"/>
        <v>4.9999677067871319E-2</v>
      </c>
    </row>
    <row r="327" spans="1:37" ht="17.25" customHeight="1">
      <c r="A327" s="68"/>
      <c r="B327" s="69" t="s">
        <v>302</v>
      </c>
      <c r="C327" s="28" t="s">
        <v>27</v>
      </c>
      <c r="D327" s="28" t="s">
        <v>27</v>
      </c>
      <c r="E327" s="28" t="s">
        <v>171</v>
      </c>
      <c r="F327" s="36" t="s">
        <v>29</v>
      </c>
      <c r="G327" s="28" t="s">
        <v>30</v>
      </c>
      <c r="H327" s="55" t="str">
        <f>HYPERLINK("https://innovativeincomeinvestor.com/security/gladstone-investment-corporation-4-875-notes-due-2028/","GAINZ")</f>
        <v>GAINZ</v>
      </c>
      <c r="I327" s="47">
        <v>4.8750000000000002E-2</v>
      </c>
      <c r="J327" s="74">
        <f ca="1">IFERROR(__xludf.DUMMYFUNCTION("GoogleFinance(H327)"),23.14)</f>
        <v>23.14</v>
      </c>
      <c r="K327" s="102">
        <f ca="1">IFERROR(__xludf.DUMMYFUNCTION("googlefinance(H327,""change"")"),-0.24)</f>
        <v>-0.24</v>
      </c>
      <c r="L327" s="75">
        <f t="shared" ca="1" si="182"/>
        <v>5.185825410544511E-2</v>
      </c>
      <c r="M327" s="27">
        <f t="shared" ca="1" si="183"/>
        <v>7.439999999999998E-2</v>
      </c>
      <c r="N327" s="28" t="s">
        <v>31</v>
      </c>
      <c r="O327" s="28" t="s">
        <v>32</v>
      </c>
      <c r="P327" s="28" t="s">
        <v>32</v>
      </c>
      <c r="Q327" s="29">
        <v>0.3</v>
      </c>
      <c r="R327" s="64">
        <v>45231</v>
      </c>
      <c r="S327" s="82">
        <v>47058</v>
      </c>
      <c r="T327" s="62" t="s">
        <v>101</v>
      </c>
      <c r="U327" s="16">
        <f t="shared" ca="1" si="151"/>
        <v>-1.6904109589041096</v>
      </c>
      <c r="V327" s="11" t="str">
        <v>All</v>
      </c>
      <c r="X327">
        <f t="shared" ca="1" si="174"/>
        <v>0.12925594822995426</v>
      </c>
      <c r="Z327" s="17">
        <f t="shared" ca="1" si="175"/>
        <v>46213</v>
      </c>
      <c r="AG327" s="33">
        <f t="shared" ca="1" si="176"/>
        <v>8.980567064424437E-2</v>
      </c>
      <c r="AH327">
        <f t="shared" ca="1" si="177"/>
        <v>6.6365055085628386E-2</v>
      </c>
      <c r="AI327">
        <f t="shared" ca="1" si="178"/>
        <v>6.1937449544007844E-2</v>
      </c>
      <c r="AJ327">
        <f t="shared" ca="1" si="179"/>
        <v>5.8640071631213042E-2</v>
      </c>
      <c r="AK327">
        <f t="shared" ca="1" si="180"/>
        <v>5.4903992995494949E-2</v>
      </c>
    </row>
    <row r="328" spans="1:37" ht="17.25" customHeight="1">
      <c r="A328" s="68"/>
      <c r="B328" s="69" t="s">
        <v>302</v>
      </c>
      <c r="C328" s="28" t="s">
        <v>27</v>
      </c>
      <c r="D328" s="28" t="s">
        <v>27</v>
      </c>
      <c r="E328" s="28" t="s">
        <v>171</v>
      </c>
      <c r="F328" s="36" t="s">
        <v>29</v>
      </c>
      <c r="G328" s="28" t="s">
        <v>30</v>
      </c>
      <c r="H328" s="83" t="str">
        <f>HYPERLINK("https://innovativeincomeinvestor.com/security/gladstone-investment-corporation-8-notes-due-2028/","GAINL")</f>
        <v>GAINL</v>
      </c>
      <c r="I328" s="47">
        <v>0.08</v>
      </c>
      <c r="J328" s="74">
        <f ca="1">IFERROR(__xludf.DUMMYFUNCTION("GoogleFinance(H328)"),25.75)</f>
        <v>25.75</v>
      </c>
      <c r="K328" s="102">
        <f ca="1">IFERROR(__xludf.DUMMYFUNCTION("googlefinance(H328,""change"")"),0.19)</f>
        <v>0.19</v>
      </c>
      <c r="L328" s="75">
        <f t="shared" ca="1" si="182"/>
        <v>7.7669902912621352E-2</v>
      </c>
      <c r="M328" s="108">
        <f t="shared" ref="M328:M329" ca="1" si="184">L328*U328+(25-J328)/25/U328</f>
        <v>-0.49304579912705987</v>
      </c>
      <c r="N328" s="28" t="s">
        <v>31</v>
      </c>
      <c r="O328" s="28" t="s">
        <v>32</v>
      </c>
      <c r="P328" s="28" t="s">
        <v>32</v>
      </c>
      <c r="Q328" s="29">
        <f>(I328*25)/4</f>
        <v>0.5</v>
      </c>
      <c r="R328" s="64">
        <v>45870</v>
      </c>
      <c r="S328" s="82">
        <v>46966</v>
      </c>
      <c r="T328" s="62" t="s">
        <v>101</v>
      </c>
      <c r="U328" s="16">
        <f t="shared" ca="1" si="151"/>
        <v>6.0273972602739728E-2</v>
      </c>
      <c r="V328" s="11" t="str">
        <v>All</v>
      </c>
      <c r="X328">
        <f t="shared" ca="1" si="174"/>
        <v>4.9074248019247695E-2</v>
      </c>
      <c r="Z328" s="17">
        <f t="shared" ca="1" si="175"/>
        <v>46213</v>
      </c>
      <c r="AG328" s="33">
        <f t="shared" ca="1" si="176"/>
        <v>6.3901724537053076E-2</v>
      </c>
      <c r="AH328">
        <f t="shared" ca="1" si="177"/>
        <v>7.2784520780592499E-2</v>
      </c>
      <c r="AI328">
        <f t="shared" ca="1" si="178"/>
        <v>7.4457851003318656E-2</v>
      </c>
      <c r="AJ328">
        <f t="shared" ca="1" si="179"/>
        <v>7.5693524133666631E-2</v>
      </c>
      <c r="AK328">
        <f t="shared" ca="1" si="180"/>
        <v>7.7044914594827388E-2</v>
      </c>
    </row>
    <row r="329" spans="1:37" ht="17.25" customHeight="1">
      <c r="A329" s="68"/>
      <c r="B329" s="69" t="s">
        <v>302</v>
      </c>
      <c r="C329" s="28" t="s">
        <v>27</v>
      </c>
      <c r="D329" s="28" t="s">
        <v>27</v>
      </c>
      <c r="E329" s="28" t="s">
        <v>171</v>
      </c>
      <c r="F329" s="36" t="s">
        <v>29</v>
      </c>
      <c r="G329" s="28" t="s">
        <v>30</v>
      </c>
      <c r="H329" s="51" t="str">
        <f>HYPERLINK("https://innovativeincomeinvestor.com/security/gladstone-investment-corporation-7-875-notes-due-2030/","GAINI")</f>
        <v>GAINI</v>
      </c>
      <c r="I329" s="47">
        <v>7.8750000000000001E-2</v>
      </c>
      <c r="J329" s="74">
        <f ca="1">IFERROR(__xludf.DUMMYFUNCTION("GoogleFinance(H329)"),25.42)</f>
        <v>25.42</v>
      </c>
      <c r="K329" s="102">
        <f ca="1">IFERROR(__xludf.DUMMYFUNCTION("googlefinance(H329,""change"")"),-0.03)</f>
        <v>-0.03</v>
      </c>
      <c r="L329" s="75">
        <f t="shared" ca="1" si="182"/>
        <v>7.7104642014162075E-2</v>
      </c>
      <c r="M329" s="108">
        <f t="shared" ca="1" si="184"/>
        <v>0.1098821802026697</v>
      </c>
      <c r="N329" s="28" t="s">
        <v>31</v>
      </c>
      <c r="O329" s="28" t="s">
        <v>32</v>
      </c>
      <c r="P329" s="28" t="s">
        <v>32</v>
      </c>
      <c r="Q329" s="29">
        <v>0.49</v>
      </c>
      <c r="R329" s="64">
        <v>46419</v>
      </c>
      <c r="S329" s="82">
        <v>47515</v>
      </c>
      <c r="T329" s="62" t="s">
        <v>101</v>
      </c>
      <c r="U329" s="16">
        <f t="shared" ca="1" si="151"/>
        <v>1.5643835616438355</v>
      </c>
      <c r="V329" s="11" t="str">
        <v>All</v>
      </c>
      <c r="X329">
        <f t="shared" ca="1" si="174"/>
        <v>6.1301440408694792E-2</v>
      </c>
      <c r="Z329" s="17">
        <f t="shared" ca="1" si="175"/>
        <v>46213</v>
      </c>
      <c r="AG329" s="33">
        <f t="shared" ca="1" si="176"/>
        <v>6.9678278007596142E-2</v>
      </c>
      <c r="AH329">
        <f t="shared" ca="1" si="177"/>
        <v>7.4690379364039314E-2</v>
      </c>
      <c r="AI329">
        <f t="shared" ca="1" si="178"/>
        <v>7.5634147569416443E-2</v>
      </c>
      <c r="AJ329">
        <f t="shared" ca="1" si="179"/>
        <v>7.63313161349298E-2</v>
      </c>
      <c r="AK329">
        <f t="shared" ca="1" si="180"/>
        <v>7.7094121346375652E-2</v>
      </c>
    </row>
    <row r="330" spans="1:37" ht="17.25" customHeight="1">
      <c r="A330" s="68"/>
      <c r="B330" s="70" t="s">
        <v>303</v>
      </c>
      <c r="C330" s="71" t="s">
        <v>35</v>
      </c>
      <c r="D330" s="71" t="s">
        <v>36</v>
      </c>
      <c r="E330" s="71" t="s">
        <v>63</v>
      </c>
      <c r="F330" s="71" t="s">
        <v>29</v>
      </c>
      <c r="G330" s="71" t="s">
        <v>38</v>
      </c>
      <c r="H330" s="101" t="str">
        <f>HYPERLINK("https://innovativeincomeinvestor.com/security/gladstone-land-6-series-b-cumulative-redeemable-preferred-stock/","LANDO")</f>
        <v>LANDO</v>
      </c>
      <c r="I330" s="73">
        <v>0.06</v>
      </c>
      <c r="J330" s="74">
        <f ca="1">IFERROR(__xludf.DUMMYFUNCTION("GoogleFinance(H330)"),19.41)</f>
        <v>19.41</v>
      </c>
      <c r="K330" s="74">
        <f ca="1">IFERROR(__xludf.DUMMYFUNCTION("googlefinance(H330,""change"")"),0.11)</f>
        <v>0.11</v>
      </c>
      <c r="L330" s="75">
        <f t="shared" ref="L330:L332" ca="1" si="185">(Q330*12)/J330</f>
        <v>7.7279752704791344E-2</v>
      </c>
      <c r="M330" s="75">
        <f t="shared" ref="M330:M331" ca="1" si="186">(25-J330)/25</f>
        <v>0.22359999999999999</v>
      </c>
      <c r="N330" s="71" t="s">
        <v>31</v>
      </c>
      <c r="O330" s="75" t="s">
        <v>32</v>
      </c>
      <c r="P330" s="71" t="s">
        <v>32</v>
      </c>
      <c r="Q330" s="76">
        <f t="shared" ref="Q330:Q331" si="187">(I330*25)/12</f>
        <v>0.125</v>
      </c>
      <c r="R330" s="77">
        <v>44713</v>
      </c>
      <c r="S330" s="71" t="s">
        <v>41</v>
      </c>
      <c r="T330" s="78" t="s">
        <v>178</v>
      </c>
      <c r="U330" s="16">
        <f t="shared" ca="1" si="151"/>
        <v>-3.1095890410958904</v>
      </c>
      <c r="V330" s="11" t="str">
        <v>All</v>
      </c>
      <c r="X330">
        <f t="shared" ca="1" si="174"/>
        <v>0.33181563609089709</v>
      </c>
      <c r="Z330" s="17">
        <f t="shared" ca="1" si="175"/>
        <v>46213</v>
      </c>
      <c r="AG330" s="33">
        <f t="shared" ca="1" si="176"/>
        <v>0.19812045493226893</v>
      </c>
      <c r="AH330">
        <f t="shared" ca="1" si="177"/>
        <v>0.12016443288991109</v>
      </c>
      <c r="AI330">
        <f t="shared" ca="1" si="178"/>
        <v>0.10561812616088639</v>
      </c>
      <c r="AJ330">
        <f t="shared" ca="1" si="179"/>
        <v>9.4876321541096709E-2</v>
      </c>
      <c r="AK330">
        <f t="shared" ca="1" si="180"/>
        <v>8.3016912330206638E-2</v>
      </c>
    </row>
    <row r="331" spans="1:37" ht="17.25" customHeight="1">
      <c r="A331" s="68"/>
      <c r="B331" s="70" t="s">
        <v>303</v>
      </c>
      <c r="C331" s="71" t="s">
        <v>35</v>
      </c>
      <c r="D331" s="71" t="s">
        <v>36</v>
      </c>
      <c r="E331" s="71" t="s">
        <v>63</v>
      </c>
      <c r="F331" s="71" t="s">
        <v>29</v>
      </c>
      <c r="G331" s="71" t="s">
        <v>177</v>
      </c>
      <c r="H331" s="101" t="str">
        <f>HYPERLINK("https://innovativeincomeinvestor.com/security/gladstone-land-corporation-5-series-d-cumulative-term-preferred-stock/","LANDM")</f>
        <v>LANDM</v>
      </c>
      <c r="I331" s="73">
        <v>0.05</v>
      </c>
      <c r="J331" s="74">
        <f ca="1">IFERROR(__xludf.DUMMYFUNCTION("GoogleFinance(H331)"),24.74)</f>
        <v>24.74</v>
      </c>
      <c r="K331" s="74">
        <f ca="1">IFERROR(__xludf.DUMMYFUNCTION("googlefinance(H331,""change"")"),-0.01)</f>
        <v>-0.01</v>
      </c>
      <c r="L331" s="75">
        <f t="shared" ca="1" si="185"/>
        <v>5.052546483427648E-2</v>
      </c>
      <c r="M331" s="190">
        <f t="shared" ca="1" si="186"/>
        <v>1.0400000000000062E-2</v>
      </c>
      <c r="N331" s="71" t="s">
        <v>31</v>
      </c>
      <c r="O331" s="75" t="s">
        <v>32</v>
      </c>
      <c r="P331" s="71" t="s">
        <v>32</v>
      </c>
      <c r="Q331" s="76">
        <f t="shared" si="187"/>
        <v>0.10416666666666667</v>
      </c>
      <c r="R331" s="77">
        <v>44957</v>
      </c>
      <c r="S331" s="158">
        <v>46053</v>
      </c>
      <c r="T331" s="78" t="s">
        <v>178</v>
      </c>
      <c r="U331" s="16">
        <f t="shared" ca="1" si="151"/>
        <v>-2.441095890410959</v>
      </c>
      <c r="V331" s="11" t="str">
        <v>All</v>
      </c>
      <c r="X331">
        <f t="shared" ca="1" si="174"/>
        <v>6.0798168647090416E-2</v>
      </c>
      <c r="Z331" s="17">
        <f t="shared" ca="1" si="175"/>
        <v>46213</v>
      </c>
      <c r="AG331" s="33">
        <f t="shared" ca="1" si="176"/>
        <v>5.5530075051466038E-2</v>
      </c>
      <c r="AH331">
        <f t="shared" ca="1" si="177"/>
        <v>5.2378709654631532E-2</v>
      </c>
      <c r="AI331">
        <f t="shared" ca="1" si="178"/>
        <v>5.1781578271608897E-2</v>
      </c>
      <c r="AJ331">
        <f t="shared" ca="1" si="179"/>
        <v>5.1336554207583839E-2</v>
      </c>
      <c r="AK331">
        <f t="shared" ca="1" si="180"/>
        <v>5.0831389184112015E-2</v>
      </c>
    </row>
    <row r="332" spans="1:37" ht="17.25" customHeight="1">
      <c r="A332" s="19"/>
      <c r="B332" s="100" t="s">
        <v>303</v>
      </c>
      <c r="C332" s="71" t="s">
        <v>35</v>
      </c>
      <c r="D332" s="71" t="s">
        <v>36</v>
      </c>
      <c r="E332" s="71" t="s">
        <v>63</v>
      </c>
      <c r="F332" s="71" t="s">
        <v>29</v>
      </c>
      <c r="G332" s="71" t="s">
        <v>38</v>
      </c>
      <c r="H332" s="101" t="str">
        <f>HYPERLINK("https://innovativeincomeinvestor.com/security/gladstone-land-6-00-series-c-cumulative-redeemable-preferred-stock/","LANDP")</f>
        <v>LANDP</v>
      </c>
      <c r="I332" s="73">
        <v>0.06</v>
      </c>
      <c r="J332" s="168">
        <f ca="1">IFERROR(__xludf.DUMMYFUNCTION("GoogleFinance(H332)"),19.47)</f>
        <v>19.47</v>
      </c>
      <c r="K332" s="74">
        <f ca="1">IFERROR(__xludf.DUMMYFUNCTION("googlefinance(H332,""change"")"),0.11)</f>
        <v>0.11</v>
      </c>
      <c r="L332" s="75">
        <f t="shared" ca="1" si="185"/>
        <v>7.7041602465331288E-2</v>
      </c>
      <c r="M332" s="75">
        <f t="array" aca="1" ref="M332" ca="1">L332*U332+(25-J332)/25/U332</f>
        <v>-0.28511997957399643</v>
      </c>
      <c r="N332" s="71" t="s">
        <v>31</v>
      </c>
      <c r="O332" s="75" t="s">
        <v>32</v>
      </c>
      <c r="P332" s="71" t="s">
        <v>32</v>
      </c>
      <c r="Q332" s="74">
        <v>0.125</v>
      </c>
      <c r="R332" s="191">
        <v>45444</v>
      </c>
      <c r="S332" s="192" t="s">
        <v>41</v>
      </c>
      <c r="T332" s="193" t="s">
        <v>304</v>
      </c>
      <c r="U332" s="16">
        <f t="shared" ca="1" si="151"/>
        <v>-1.106849315068493</v>
      </c>
      <c r="V332" s="11" t="str">
        <v>All</v>
      </c>
      <c r="X332">
        <f t="shared" ca="1" si="174"/>
        <v>0.32838744066995651</v>
      </c>
      <c r="Z332" s="17">
        <f t="shared" ca="1" si="175"/>
        <v>46213</v>
      </c>
      <c r="AG332" s="33">
        <f t="shared" ca="1" si="176"/>
        <v>0.19640027426540407</v>
      </c>
      <c r="AH332">
        <f t="shared" ca="1" si="177"/>
        <v>0.11941577982992931</v>
      </c>
      <c r="AI332">
        <f t="shared" ca="1" si="178"/>
        <v>0.10504831185947798</v>
      </c>
      <c r="AJ332">
        <f t="shared" ca="1" si="179"/>
        <v>9.4437643157228857E-2</v>
      </c>
      <c r="AK332">
        <f t="shared" ca="1" si="180"/>
        <v>8.2720255555865471E-2</v>
      </c>
    </row>
    <row r="333" spans="1:37" ht="17.25" customHeight="1">
      <c r="A333" s="19"/>
      <c r="B333" s="45" t="s">
        <v>305</v>
      </c>
      <c r="C333" s="28" t="s">
        <v>35</v>
      </c>
      <c r="D333" s="36" t="s">
        <v>27</v>
      </c>
      <c r="E333" s="36" t="s">
        <v>63</v>
      </c>
      <c r="F333" s="28" t="s">
        <v>29</v>
      </c>
      <c r="G333" s="28" t="s">
        <v>38</v>
      </c>
      <c r="H333" s="23" t="str">
        <f>HYPERLINK("https://innovativeincomeinvestor.com/security/global-medical-reit-7-50-series-a-cumulative-redeemable-preferred-stock/","GMRE-A")</f>
        <v>GMRE-A</v>
      </c>
      <c r="I333" s="47">
        <v>7.4999999999999997E-2</v>
      </c>
      <c r="J333" s="150">
        <f ca="1">IFERROR(__xludf.DUMMYFUNCTION("importxml(""https://bigcharts.marketwatch.com/quickchart/quickchart.asp?symb=GMREPRA&amp;insttype=Stock"",""/html/body/div[1]/div[2]/table/tbody/tr/td[1]/table/tbody/tr[3]/td[1]/div"")"),25.2835)</f>
        <v>25.2835</v>
      </c>
      <c r="K333" s="26">
        <f ca="1">IFERROR(__xludf.DUMMYFUNCTION("GOOGLEFINANCE(H333,""change"")"),0.21)</f>
        <v>0.21</v>
      </c>
      <c r="L333" s="27">
        <f t="shared" ref="L333:L338" ca="1" si="188">(Q333*4)/J333</f>
        <v>7.4356793956532913E-2</v>
      </c>
      <c r="M333" s="27">
        <f t="shared" ref="M333:M335" ca="1" si="189">(25-J333)/25</f>
        <v>-1.1340000000000003E-2</v>
      </c>
      <c r="N333" s="28" t="s">
        <v>31</v>
      </c>
      <c r="O333" s="28" t="s">
        <v>32</v>
      </c>
      <c r="P333" s="28" t="s">
        <v>32</v>
      </c>
      <c r="Q333" s="65">
        <v>0.47</v>
      </c>
      <c r="R333" s="49">
        <v>44819</v>
      </c>
      <c r="S333" s="59" t="s">
        <v>41</v>
      </c>
      <c r="T333" s="183" t="s">
        <v>79</v>
      </c>
      <c r="U333" s="16">
        <f t="shared" ca="1" si="151"/>
        <v>-2.8191780821917809</v>
      </c>
      <c r="V333" s="11" t="str">
        <v>All</v>
      </c>
      <c r="X333">
        <f t="shared" ca="1" si="174"/>
        <v>6.320849809107118E-2</v>
      </c>
      <c r="Z333" s="17">
        <f t="shared" ca="1" si="175"/>
        <v>46213</v>
      </c>
      <c r="AG333" s="33">
        <f t="shared" ca="1" si="176"/>
        <v>6.8881870288636779E-2</v>
      </c>
      <c r="AH333">
        <f t="shared" ca="1" si="177"/>
        <v>7.2275657794160675E-2</v>
      </c>
      <c r="AI333">
        <f t="shared" ca="1" si="178"/>
        <v>7.2915199412982051E-2</v>
      </c>
      <c r="AJ333">
        <f t="shared" ca="1" si="179"/>
        <v>7.3388387071338365E-2</v>
      </c>
      <c r="AK333">
        <f t="shared" ca="1" si="180"/>
        <v>7.3908699521266913E-2</v>
      </c>
    </row>
    <row r="334" spans="1:37" ht="17.25" customHeight="1">
      <c r="A334" s="19"/>
      <c r="B334" s="45" t="s">
        <v>306</v>
      </c>
      <c r="C334" s="28" t="s">
        <v>35</v>
      </c>
      <c r="D334" s="36" t="s">
        <v>27</v>
      </c>
      <c r="E334" s="36" t="s">
        <v>63</v>
      </c>
      <c r="F334" s="28" t="s">
        <v>29</v>
      </c>
      <c r="G334" s="28" t="s">
        <v>38</v>
      </c>
      <c r="H334" s="83" t="str">
        <f>HYPERLINK("https://innovativeincomeinvestor.com/security/global-net-lease-7-25-series-a-cumulative-redeemable-preferred-stock/","GNL-A")</f>
        <v>GNL-A</v>
      </c>
      <c r="I334" s="47">
        <v>7.2499999999999995E-2</v>
      </c>
      <c r="J334" s="116">
        <f ca="1">IFERROR(__xludf.DUMMYFUNCTION("GOOGLEFINANCE(H334)"),22.18)</f>
        <v>22.18</v>
      </c>
      <c r="K334" s="115">
        <f ca="1">IFERROR(__xludf.DUMMYFUNCTION("GOOGLEFINANCE(H334,""change"")"),0.02)</f>
        <v>0.02</v>
      </c>
      <c r="L334" s="58">
        <f t="shared" ca="1" si="188"/>
        <v>8.1717763751127132E-2</v>
      </c>
      <c r="M334" s="27">
        <f t="shared" ca="1" si="189"/>
        <v>0.11280000000000001</v>
      </c>
      <c r="N334" s="59" t="s">
        <v>31</v>
      </c>
      <c r="O334" s="58" t="s">
        <v>32</v>
      </c>
      <c r="P334" s="58" t="s">
        <v>32</v>
      </c>
      <c r="Q334" s="29">
        <f t="shared" ref="Q334:Q336" si="190">(I334*25)/4</f>
        <v>0.45312499999999994</v>
      </c>
      <c r="R334" s="49">
        <v>44816</v>
      </c>
      <c r="S334" s="59" t="s">
        <v>41</v>
      </c>
      <c r="T334" s="183" t="s">
        <v>60</v>
      </c>
      <c r="U334" s="16">
        <f t="shared" ca="1" si="151"/>
        <v>-2.8273972602739725</v>
      </c>
      <c r="V334" s="11" t="str">
        <v>All</v>
      </c>
      <c r="X334">
        <f t="shared" ca="1" si="174"/>
        <v>0.19972329249577164</v>
      </c>
      <c r="Z334" s="17">
        <f t="shared" ca="1" si="175"/>
        <v>46213</v>
      </c>
      <c r="AG334" s="33">
        <f t="shared" ca="1" si="176"/>
        <v>0.13800231732690821</v>
      </c>
      <c r="AH334">
        <f t="shared" ca="1" si="177"/>
        <v>0.10156183986296696</v>
      </c>
      <c r="AI334">
        <f t="shared" ca="1" si="178"/>
        <v>9.473879297668579E-2</v>
      </c>
      <c r="AJ334">
        <f t="shared" ca="1" si="179"/>
        <v>8.9709408795102016E-2</v>
      </c>
      <c r="AK334">
        <f t="shared" ca="1" si="180"/>
        <v>8.4213021542131963E-2</v>
      </c>
    </row>
    <row r="335" spans="1:37" ht="17.25" customHeight="1">
      <c r="A335" s="19"/>
      <c r="B335" s="45" t="s">
        <v>306</v>
      </c>
      <c r="C335" s="28" t="s">
        <v>35</v>
      </c>
      <c r="D335" s="36" t="s">
        <v>27</v>
      </c>
      <c r="E335" s="36" t="s">
        <v>63</v>
      </c>
      <c r="F335" s="28" t="s">
        <v>29</v>
      </c>
      <c r="G335" s="28" t="s">
        <v>38</v>
      </c>
      <c r="H335" s="194" t="str">
        <f>HYPERLINK("https://innovativeincomeinvestor.com/security/global-net-lease-inc-6-875-series-b-cumulative-redeemable-perpetual-preferred-stock/","GNL-B")</f>
        <v>GNL-B</v>
      </c>
      <c r="I335" s="47">
        <v>6.8750000000000006E-2</v>
      </c>
      <c r="J335" s="150">
        <f ca="1">IFERROR(__xludf.DUMMYFUNCTION("GOOGLEFINANCE(H335)"),21)</f>
        <v>21</v>
      </c>
      <c r="K335" s="57">
        <f ca="1">IFERROR(__xludf.DUMMYFUNCTION("GOOGLEFINANCE(H335,""change"")"),0.03)</f>
        <v>0.03</v>
      </c>
      <c r="L335" s="97">
        <f t="shared" ca="1" si="188"/>
        <v>8.184523809523811E-2</v>
      </c>
      <c r="M335" s="27">
        <f t="shared" ca="1" si="189"/>
        <v>0.16</v>
      </c>
      <c r="N335" s="89" t="s">
        <v>31</v>
      </c>
      <c r="O335" s="97" t="s">
        <v>32</v>
      </c>
      <c r="P335" s="97" t="s">
        <v>32</v>
      </c>
      <c r="Q335" s="91">
        <f t="shared" si="190"/>
        <v>0.42968750000000006</v>
      </c>
      <c r="R335" s="92">
        <v>45622</v>
      </c>
      <c r="S335" s="96" t="s">
        <v>41</v>
      </c>
      <c r="T335" s="93" t="s">
        <v>60</v>
      </c>
      <c r="U335" s="16">
        <f t="shared" ca="1" si="151"/>
        <v>-0.61917808219178083</v>
      </c>
      <c r="V335" s="11" t="str">
        <v>All</v>
      </c>
      <c r="X335">
        <f t="shared" ca="1" si="174"/>
        <v>0.25504150643352619</v>
      </c>
      <c r="Z335" s="17">
        <f t="shared" ca="1" si="175"/>
        <v>46213</v>
      </c>
      <c r="AG335" s="33">
        <f t="shared" ca="1" si="176"/>
        <v>0.16422261286134845</v>
      </c>
      <c r="AH335">
        <f t="shared" ca="1" si="177"/>
        <v>0.11088363984885267</v>
      </c>
      <c r="AI335">
        <f t="shared" ca="1" si="178"/>
        <v>0.10091541220719108</v>
      </c>
      <c r="AJ335">
        <f t="shared" ca="1" si="179"/>
        <v>9.3567253586018126E-2</v>
      </c>
      <c r="AK335">
        <f t="shared" ca="1" si="180"/>
        <v>8.5524296555697474E-2</v>
      </c>
    </row>
    <row r="336" spans="1:37" ht="17.25" customHeight="1">
      <c r="A336" s="19"/>
      <c r="B336" s="45" t="s">
        <v>307</v>
      </c>
      <c r="C336" s="28" t="s">
        <v>35</v>
      </c>
      <c r="D336" s="28" t="s">
        <v>27</v>
      </c>
      <c r="E336" s="28" t="s">
        <v>63</v>
      </c>
      <c r="F336" s="36" t="s">
        <v>29</v>
      </c>
      <c r="G336" s="28" t="s">
        <v>38</v>
      </c>
      <c r="H336" s="51" t="str">
        <f>HYPERLINK("https://innovativeincomeinvestor.com/security/american-financetrust/","GNL-D")</f>
        <v>GNL-D</v>
      </c>
      <c r="I336" s="47">
        <v>7.4999999999999997E-2</v>
      </c>
      <c r="J336" s="26">
        <f ca="1">IFERROR(__xludf.DUMMYFUNCTION("GOOGLEFINANCE(H336)"),22.57)</f>
        <v>22.57</v>
      </c>
      <c r="K336" s="65">
        <f ca="1">IFERROR(__xludf.DUMMYFUNCTION("googlefinance(H336,""change"")"),-0.15)</f>
        <v>-0.15</v>
      </c>
      <c r="L336" s="27">
        <f t="shared" ca="1" si="188"/>
        <v>8.3074878156845375E-2</v>
      </c>
      <c r="M336" s="27">
        <f t="shared" ref="M336:M338" ca="1" si="191">L336*U336+(25-J336)/25/U336</f>
        <v>-0.18252557394754812</v>
      </c>
      <c r="N336" s="28" t="s">
        <v>31</v>
      </c>
      <c r="O336" s="28" t="s">
        <v>32</v>
      </c>
      <c r="P336" s="28" t="s">
        <v>32</v>
      </c>
      <c r="Q336" s="29">
        <f t="shared" si="190"/>
        <v>0.46875</v>
      </c>
      <c r="R336" s="64">
        <v>45377</v>
      </c>
      <c r="S336" s="28" t="s">
        <v>41</v>
      </c>
      <c r="T336" s="62" t="s">
        <v>60</v>
      </c>
      <c r="U336" s="16">
        <f t="shared" ca="1" si="151"/>
        <v>-1.2904109589041095</v>
      </c>
      <c r="V336" s="11" t="str">
        <v>All</v>
      </c>
      <c r="X336">
        <f t="shared" ca="1" si="174"/>
        <v>0.18360409352391374</v>
      </c>
      <c r="Z336" s="17">
        <f t="shared" ca="1" si="175"/>
        <v>46213</v>
      </c>
      <c r="AG336" s="33">
        <f t="shared" ca="1" si="176"/>
        <v>0.13103336088452405</v>
      </c>
      <c r="AH336">
        <f t="shared" ca="1" si="177"/>
        <v>9.9947375542034603E-2</v>
      </c>
      <c r="AI336">
        <f t="shared" ca="1" si="178"/>
        <v>9.4125867164103635E-2</v>
      </c>
      <c r="AJ336">
        <f t="shared" ca="1" si="179"/>
        <v>8.9837427806632522E-2</v>
      </c>
      <c r="AK336">
        <f t="shared" ca="1" si="180"/>
        <v>8.5163163140197826E-2</v>
      </c>
    </row>
    <row r="337" spans="1:37" ht="17.25" customHeight="1">
      <c r="A337" s="19"/>
      <c r="B337" s="45" t="s">
        <v>307</v>
      </c>
      <c r="C337" s="36" t="s">
        <v>35</v>
      </c>
      <c r="D337" s="36" t="s">
        <v>27</v>
      </c>
      <c r="E337" s="36" t="s">
        <v>63</v>
      </c>
      <c r="F337" s="36" t="s">
        <v>29</v>
      </c>
      <c r="G337" s="36" t="s">
        <v>38</v>
      </c>
      <c r="H337" s="94" t="str">
        <f>HYPERLINK("https://innovativeincomeinvestor.com/security/12246/","GNL-E")</f>
        <v>GNL-E</v>
      </c>
      <c r="I337" s="47">
        <v>7.3749999999999996E-2</v>
      </c>
      <c r="J337" s="128">
        <f ca="1">IFERROR(__xludf.DUMMYFUNCTION("GOOGLEFINANCE(H337)"),22.11)</f>
        <v>22.11</v>
      </c>
      <c r="K337" s="65">
        <f ca="1">IFERROR(__xludf.DUMMYFUNCTION("googlefinance(H337,""change"")"),-0.11)</f>
        <v>-0.11</v>
      </c>
      <c r="L337" s="27">
        <f t="shared" ca="1" si="188"/>
        <v>8.3383084577114422E-2</v>
      </c>
      <c r="M337" s="27">
        <f t="shared" ca="1" si="191"/>
        <v>0.29885447009824534</v>
      </c>
      <c r="N337" s="28" t="s">
        <v>31</v>
      </c>
      <c r="O337" s="28" t="s">
        <v>32</v>
      </c>
      <c r="P337" s="28" t="s">
        <v>32</v>
      </c>
      <c r="Q337" s="29">
        <v>0.46089999999999998</v>
      </c>
      <c r="R337" s="64">
        <v>46009</v>
      </c>
      <c r="S337" s="36" t="s">
        <v>41</v>
      </c>
      <c r="T337" s="62" t="s">
        <v>60</v>
      </c>
      <c r="U337" s="16">
        <f t="shared" ca="1" si="151"/>
        <v>0.44109589041095892</v>
      </c>
      <c r="V337" s="11" t="str">
        <v>All</v>
      </c>
      <c r="X337">
        <f t="shared" ca="1" si="174"/>
        <v>0.20449266082957904</v>
      </c>
      <c r="Z337" s="17">
        <f t="shared" ca="1" si="175"/>
        <v>46213</v>
      </c>
      <c r="AG337" s="33">
        <f t="shared" ca="1" si="176"/>
        <v>0.14109529852285838</v>
      </c>
      <c r="AH337">
        <f t="shared" ca="1" si="177"/>
        <v>0.10368224322398141</v>
      </c>
      <c r="AI337">
        <f t="shared" ca="1" si="178"/>
        <v>9.6681323843861439E-2</v>
      </c>
      <c r="AJ337">
        <f t="shared" ca="1" si="179"/>
        <v>9.1524427489209137E-2</v>
      </c>
      <c r="AK337">
        <f t="shared" ca="1" si="180"/>
        <v>8.5902419143837561E-2</v>
      </c>
    </row>
    <row r="338" spans="1:37" ht="17.25" customHeight="1">
      <c r="A338" s="68"/>
      <c r="B338" s="69" t="s">
        <v>308</v>
      </c>
      <c r="C338" s="28" t="s">
        <v>35</v>
      </c>
      <c r="D338" s="28" t="s">
        <v>27</v>
      </c>
      <c r="E338" s="28" t="s">
        <v>155</v>
      </c>
      <c r="F338" s="36" t="s">
        <v>29</v>
      </c>
      <c r="G338" s="28" t="s">
        <v>38</v>
      </c>
      <c r="H338" s="46" t="str">
        <f>HYPERLINK("https://innovativeincomeinvestor.com/security/global-partners-lp-9-50-sereis-b-rixed-rate-cumulative-redeemable-perpetual-preferred-units/","GLP-B")</f>
        <v>GLP-B</v>
      </c>
      <c r="I338" s="47">
        <v>9.5000000000000001E-2</v>
      </c>
      <c r="J338" s="26">
        <f ca="1">IFERROR(__xludf.DUMMYFUNCTION("GOOGLEFINANCE(H338)"),25.96)</f>
        <v>25.96</v>
      </c>
      <c r="K338" s="26">
        <f ca="1">IFERROR(__xludf.DUMMYFUNCTION("GOOGLEFINANCE(H338,""change"")"),-0.03)</f>
        <v>-0.03</v>
      </c>
      <c r="L338" s="27">
        <f t="shared" ca="1" si="188"/>
        <v>9.0909090909090898E-2</v>
      </c>
      <c r="M338" s="27">
        <f t="shared" ca="1" si="191"/>
        <v>3.1602171468643019E-2</v>
      </c>
      <c r="N338" s="28" t="s">
        <v>31</v>
      </c>
      <c r="O338" s="27" t="s">
        <v>32</v>
      </c>
      <c r="P338" s="27" t="s">
        <v>32</v>
      </c>
      <c r="Q338" s="29">
        <v>0.59</v>
      </c>
      <c r="R338" s="53">
        <v>46157</v>
      </c>
      <c r="S338" s="54" t="s">
        <v>41</v>
      </c>
      <c r="T338" s="62" t="s">
        <v>33</v>
      </c>
      <c r="U338" s="16">
        <f t="shared" ca="1" si="151"/>
        <v>0.84657534246575339</v>
      </c>
      <c r="V338" s="11" t="str">
        <v>All</v>
      </c>
      <c r="X338">
        <f t="shared" ca="1" si="174"/>
        <v>5.5264551456741917E-2</v>
      </c>
      <c r="Z338" s="17">
        <f t="shared" ca="1" si="175"/>
        <v>46213</v>
      </c>
      <c r="AG338" s="33">
        <f t="shared" ca="1" si="176"/>
        <v>7.4163741411741327E-2</v>
      </c>
      <c r="AH338">
        <f t="shared" ca="1" si="177"/>
        <v>8.5476818158069762E-2</v>
      </c>
      <c r="AI338">
        <f t="shared" ca="1" si="178"/>
        <v>8.7598207343255033E-2</v>
      </c>
      <c r="AJ338">
        <f t="shared" ca="1" si="179"/>
        <v>8.9154354813768627E-2</v>
      </c>
      <c r="AK338">
        <f t="shared" ca="1" si="180"/>
        <v>9.0816181580460398E-2</v>
      </c>
    </row>
    <row r="339" spans="1:37" ht="17.25" customHeight="1">
      <c r="A339" s="19"/>
      <c r="B339" s="45" t="s">
        <v>308</v>
      </c>
      <c r="C339" s="28" t="s">
        <v>35</v>
      </c>
      <c r="D339" s="36" t="s">
        <v>27</v>
      </c>
      <c r="E339" s="36" t="s">
        <v>155</v>
      </c>
      <c r="F339" s="28" t="s">
        <v>46</v>
      </c>
      <c r="G339" s="28" t="s">
        <v>38</v>
      </c>
      <c r="H339" s="195" t="str">
        <f>HYPERLINK("https://innovativeincomeinvestor.com/security/global-partners-lp-9-75-series-a-fixed-to-floating-rate-cumulative-redeemable-perpetual-preferred-units/","GLP-A")</f>
        <v>GLP-A</v>
      </c>
      <c r="I339" s="47">
        <v>9.7500000000000003E-2</v>
      </c>
      <c r="J339" s="86" t="s">
        <v>68</v>
      </c>
      <c r="K339" s="86" t="s">
        <v>68</v>
      </c>
      <c r="L339" s="86" t="s">
        <v>68</v>
      </c>
      <c r="M339" s="86" t="s">
        <v>68</v>
      </c>
      <c r="N339" s="28" t="s">
        <v>31</v>
      </c>
      <c r="O339" s="27" t="s">
        <v>32</v>
      </c>
      <c r="P339" s="27" t="s">
        <v>32</v>
      </c>
      <c r="Q339" s="52" t="s">
        <v>47</v>
      </c>
      <c r="R339" s="53">
        <v>45153</v>
      </c>
      <c r="S339" s="54" t="s">
        <v>41</v>
      </c>
      <c r="T339" s="62" t="s">
        <v>33</v>
      </c>
      <c r="U339" s="16">
        <f t="shared" ca="1" si="151"/>
        <v>-1.904109589041096</v>
      </c>
      <c r="V339" s="11" t="str">
        <v>All</v>
      </c>
      <c r="X339" t="e">
        <f t="shared" ca="1" si="174"/>
        <v>#VALUE!</v>
      </c>
      <c r="Z339" s="17">
        <f t="shared" ca="1" si="175"/>
        <v>46213</v>
      </c>
      <c r="AG339" s="33" t="e">
        <f t="shared" ca="1" si="176"/>
        <v>#VALUE!</v>
      </c>
      <c r="AH339" t="e">
        <f t="shared" ca="1" si="177"/>
        <v>#VALUE!</v>
      </c>
      <c r="AI339" t="e">
        <f t="shared" ca="1" si="178"/>
        <v>#VALUE!</v>
      </c>
      <c r="AJ339" t="e">
        <f t="shared" ca="1" si="179"/>
        <v>#VALUE!</v>
      </c>
      <c r="AK339" t="e">
        <f t="shared" ca="1" si="180"/>
        <v>#VALUE!</v>
      </c>
    </row>
    <row r="340" spans="1:37" ht="17.25" customHeight="1">
      <c r="A340" s="19"/>
      <c r="B340" s="84" t="s">
        <v>309</v>
      </c>
      <c r="C340" s="36" t="s">
        <v>35</v>
      </c>
      <c r="D340" s="36" t="s">
        <v>35</v>
      </c>
      <c r="E340" s="36" t="s">
        <v>119</v>
      </c>
      <c r="F340" s="36" t="s">
        <v>29</v>
      </c>
      <c r="G340" s="28" t="s">
        <v>38</v>
      </c>
      <c r="H340" s="63" t="str">
        <f>HYPERLINK("https://innovativeincomeinvestor.com/security/global-ship-lease-8-75-dep-shares-cumulative-perpetual-preferred-series-b/","GSL-B")</f>
        <v>GSL-B</v>
      </c>
      <c r="I340" s="47">
        <v>8.7499999999999994E-2</v>
      </c>
      <c r="J340" s="65">
        <f ca="1">IFERROR(__xludf.DUMMYFUNCTION("GoogleFinance(H340)"),26.35)</f>
        <v>26.35</v>
      </c>
      <c r="K340" s="67">
        <f ca="1">IFERROR(__xludf.DUMMYFUNCTION("googlefinance(H340,""change"")"),0.25)</f>
        <v>0.25</v>
      </c>
      <c r="L340" s="27">
        <f t="shared" ref="L340:L342" ca="1" si="192">(Q340*4)/J340</f>
        <v>8.3017077798861472E-2</v>
      </c>
      <c r="M340" s="27">
        <f ca="1">(25-J340)/25</f>
        <v>-5.4000000000000055E-2</v>
      </c>
      <c r="N340" s="28" t="s">
        <v>31</v>
      </c>
      <c r="O340" s="27" t="s">
        <v>32</v>
      </c>
      <c r="P340" s="27" t="s">
        <v>32</v>
      </c>
      <c r="Q340" s="29">
        <f>(I340*25)/4</f>
        <v>0.546875</v>
      </c>
      <c r="R340" s="53">
        <v>43697</v>
      </c>
      <c r="S340" s="54" t="s">
        <v>41</v>
      </c>
      <c r="T340" s="62" t="s">
        <v>74</v>
      </c>
      <c r="U340" s="16">
        <f t="shared" ca="1" si="151"/>
        <v>-5.8931506849315065</v>
      </c>
      <c r="V340" s="11" t="str">
        <v>All</v>
      </c>
      <c r="X340">
        <f t="shared" ca="1" si="174"/>
        <v>3.2402020505128228E-2</v>
      </c>
      <c r="Z340" s="17">
        <f t="shared" ca="1" si="175"/>
        <v>46213</v>
      </c>
      <c r="AG340" s="33">
        <f t="shared" ca="1" si="176"/>
        <v>5.8687094889400625E-2</v>
      </c>
      <c r="AH340">
        <f t="shared" ca="1" si="177"/>
        <v>7.4459537846976009E-2</v>
      </c>
      <c r="AI340">
        <f t="shared" ca="1" si="178"/>
        <v>7.7427707631300413E-2</v>
      </c>
      <c r="AJ340">
        <f t="shared" ca="1" si="179"/>
        <v>7.9613762676298966E-2</v>
      </c>
      <c r="AK340">
        <f t="shared" ca="1" si="180"/>
        <v>8.1982152994184071E-2</v>
      </c>
    </row>
    <row r="341" spans="1:37" ht="17.25" customHeight="1">
      <c r="A341" s="19"/>
      <c r="B341" s="45" t="s">
        <v>310</v>
      </c>
      <c r="C341" s="28" t="s">
        <v>27</v>
      </c>
      <c r="D341" s="36" t="s">
        <v>27</v>
      </c>
      <c r="E341" s="36" t="s">
        <v>28</v>
      </c>
      <c r="F341" s="28" t="s">
        <v>29</v>
      </c>
      <c r="G341" s="28" t="s">
        <v>30</v>
      </c>
      <c r="H341" s="55" t="str">
        <f>HYPERLINK("https://innovativeincomeinvestor.com/security/globe-life-inc-4-25-junior-subordinated-debentures-due-2061/","GL-D")</f>
        <v>GL-D</v>
      </c>
      <c r="I341" s="47">
        <v>4.2500000000000003E-2</v>
      </c>
      <c r="J341" s="26">
        <f ca="1">IFERROR(__xludf.DUMMYFUNCTION("GOOGLEFINANCE(H341)"),16.4)</f>
        <v>16.399999999999999</v>
      </c>
      <c r="K341" s="26">
        <f ca="1">IFERROR(__xludf.DUMMYFUNCTION("GOOGLEFINANCE(H341,""change"")"),-0.07)</f>
        <v>-7.0000000000000007E-2</v>
      </c>
      <c r="L341" s="27">
        <f t="shared" ca="1" si="192"/>
        <v>6.4878048780487821E-2</v>
      </c>
      <c r="M341" s="27">
        <f t="array" aca="1" ref="M341" ca="1">L341*U341+(25-J341)/25/U341</f>
        <v>0.42792434589089956</v>
      </c>
      <c r="N341" s="28" t="s">
        <v>39</v>
      </c>
      <c r="O341" s="28" t="s">
        <v>311</v>
      </c>
      <c r="P341" s="28" t="s">
        <v>76</v>
      </c>
      <c r="Q341" s="65">
        <v>0.26600000000000001</v>
      </c>
      <c r="R341" s="64">
        <v>46190</v>
      </c>
      <c r="S341" s="64">
        <v>58974</v>
      </c>
      <c r="T341" s="62" t="s">
        <v>52</v>
      </c>
      <c r="U341" s="16">
        <f t="shared" ca="1" si="151"/>
        <v>0.93698630136986305</v>
      </c>
      <c r="V341" s="11" t="str">
        <v>All</v>
      </c>
      <c r="X341">
        <f t="shared" ca="1" si="174"/>
        <v>0.50040243965819975</v>
      </c>
      <c r="Z341" s="17">
        <f t="shared" ca="1" si="175"/>
        <v>46213</v>
      </c>
      <c r="AG341" s="33">
        <f t="shared" ca="1" si="176"/>
        <v>0.27091050914055165</v>
      </c>
      <c r="AH341">
        <f t="shared" ca="1" si="177"/>
        <v>0.13917258418957312</v>
      </c>
      <c r="AI341">
        <f t="shared" ca="1" si="178"/>
        <v>0.11468134546734814</v>
      </c>
      <c r="AJ341">
        <f t="shared" ca="1" si="179"/>
        <v>9.653568468196419E-2</v>
      </c>
      <c r="AK341">
        <f t="shared" ca="1" si="180"/>
        <v>7.6143818826622869E-2</v>
      </c>
    </row>
    <row r="342" spans="1:37" ht="17.25" customHeight="1">
      <c r="A342" s="19"/>
      <c r="B342" s="45" t="s">
        <v>312</v>
      </c>
      <c r="C342" s="36" t="s">
        <v>35</v>
      </c>
      <c r="D342" s="36" t="s">
        <v>35</v>
      </c>
      <c r="E342" s="36" t="s">
        <v>119</v>
      </c>
      <c r="F342" s="36" t="s">
        <v>29</v>
      </c>
      <c r="G342" s="28" t="s">
        <v>38</v>
      </c>
      <c r="H342" s="63" t="str">
        <f>HYPERLINK("https://innovativeincomeinvestor.com/security/golar-lng-partners-lp-8-75-series-a-cumulative-redeemable-preferred-units/","GMLPF")</f>
        <v>GMLPF</v>
      </c>
      <c r="I342" s="47">
        <v>8.7499999999999994E-2</v>
      </c>
      <c r="J342" s="25">
        <f ca="1">IFERROR(__xludf.DUMMYFUNCTION("GoogleFinance(H342)"),1.1)</f>
        <v>1.1000000000000001</v>
      </c>
      <c r="K342" s="107">
        <f ca="1">IFERROR(__xludf.DUMMYFUNCTION("googlefinance(H342,""change"")"),0.04)</f>
        <v>0.04</v>
      </c>
      <c r="L342" s="108">
        <f t="shared" ca="1" si="192"/>
        <v>1.9886363636363635</v>
      </c>
      <c r="M342" s="108">
        <f ca="1">(25-J342)/25</f>
        <v>0.95599999999999996</v>
      </c>
      <c r="N342" s="28" t="s">
        <v>31</v>
      </c>
      <c r="O342" s="27" t="s">
        <v>32</v>
      </c>
      <c r="P342" s="27" t="s">
        <v>32</v>
      </c>
      <c r="Q342" s="29">
        <f t="shared" ref="Q342:Q344" si="193">(I342*25)/4</f>
        <v>0.546875</v>
      </c>
      <c r="R342" s="53">
        <v>44865</v>
      </c>
      <c r="S342" s="54" t="s">
        <v>41</v>
      </c>
      <c r="T342" s="62" t="s">
        <v>33</v>
      </c>
      <c r="U342" s="16">
        <f t="shared" ca="1" si="151"/>
        <v>-2.6931506849315068</v>
      </c>
      <c r="V342" s="11" t="str">
        <v>All</v>
      </c>
      <c r="X342">
        <f t="shared" ca="1" si="174"/>
        <v>5.6877743582990687</v>
      </c>
      <c r="Z342" s="17">
        <f t="shared" ca="1" si="175"/>
        <v>46213</v>
      </c>
      <c r="AG342" s="33">
        <f t="shared" ca="1" si="176"/>
        <v>2.8425487814257502</v>
      </c>
      <c r="AH342">
        <f t="shared" ca="1" si="177"/>
        <v>1.9997094521142984</v>
      </c>
      <c r="AI342">
        <f t="shared" ca="1" si="178"/>
        <v>1.9851405796559642</v>
      </c>
      <c r="AJ342">
        <f t="shared" ca="1" si="179"/>
        <v>1.9845995576206854</v>
      </c>
      <c r="AK342">
        <f t="shared" ca="1" si="180"/>
        <v>1.9788853834014546</v>
      </c>
    </row>
    <row r="343" spans="1:37" ht="17.25" customHeight="1">
      <c r="A343" s="19"/>
      <c r="B343" s="84" t="s">
        <v>313</v>
      </c>
      <c r="C343" s="36" t="s">
        <v>27</v>
      </c>
      <c r="D343" s="36" t="s">
        <v>35</v>
      </c>
      <c r="E343" s="36" t="s">
        <v>117</v>
      </c>
      <c r="F343" s="28" t="s">
        <v>46</v>
      </c>
      <c r="G343" s="28" t="s">
        <v>38</v>
      </c>
      <c r="H343" s="63" t="str">
        <f>HYPERLINK("https://innovativeincomeinvestor.com/security/goldman-sachs-group-6-375-dep-sh-fixdfloat-non-cumul-preferred-stock-series-k/","GS-K")</f>
        <v>GS-K</v>
      </c>
      <c r="I343" s="47">
        <v>6.3750000000000001E-2</v>
      </c>
      <c r="J343" s="99" t="s">
        <v>68</v>
      </c>
      <c r="K343" s="196" t="s">
        <v>68</v>
      </c>
      <c r="L343" s="197" t="s">
        <v>68</v>
      </c>
      <c r="M343" s="197" t="s">
        <v>68</v>
      </c>
      <c r="N343" s="28" t="s">
        <v>31</v>
      </c>
      <c r="O343" s="28" t="s">
        <v>30</v>
      </c>
      <c r="P343" s="28" t="s">
        <v>83</v>
      </c>
      <c r="Q343" s="29">
        <f t="shared" si="193"/>
        <v>0.3984375</v>
      </c>
      <c r="R343" s="53">
        <v>45422</v>
      </c>
      <c r="S343" s="54" t="s">
        <v>41</v>
      </c>
      <c r="T343" s="62" t="s">
        <v>314</v>
      </c>
      <c r="U343" s="16">
        <f t="shared" ca="1" si="151"/>
        <v>-1.167123287671233</v>
      </c>
      <c r="V343" s="11" t="str">
        <v>All</v>
      </c>
      <c r="X343" t="e">
        <f t="shared" ca="1" si="174"/>
        <v>#VALUE!</v>
      </c>
      <c r="Z343" s="17">
        <f t="shared" ca="1" si="175"/>
        <v>46213</v>
      </c>
      <c r="AG343" s="33" t="e">
        <f t="shared" ca="1" si="176"/>
        <v>#VALUE!</v>
      </c>
      <c r="AH343" t="e">
        <f t="shared" ca="1" si="177"/>
        <v>#VALUE!</v>
      </c>
      <c r="AI343" t="e">
        <f t="shared" ca="1" si="178"/>
        <v>#VALUE!</v>
      </c>
      <c r="AJ343" t="e">
        <f t="shared" ca="1" si="179"/>
        <v>#VALUE!</v>
      </c>
      <c r="AK343" t="e">
        <f t="shared" ca="1" si="180"/>
        <v>#VALUE!</v>
      </c>
    </row>
    <row r="344" spans="1:37" ht="17.25" customHeight="1">
      <c r="A344" s="19"/>
      <c r="B344" s="45" t="s">
        <v>313</v>
      </c>
      <c r="C344" s="36" t="s">
        <v>27</v>
      </c>
      <c r="D344" s="36" t="s">
        <v>35</v>
      </c>
      <c r="E344" s="36" t="s">
        <v>117</v>
      </c>
      <c r="F344" s="28" t="s">
        <v>46</v>
      </c>
      <c r="G344" s="28" t="s">
        <v>38</v>
      </c>
      <c r="H344" s="63" t="str">
        <f>HYPERLINK("https://innovativeincomeinvestor.com/security/goldman-sachs-group-5-95-dep-shares-non-cumulative-preferred-stock-series-i/","GS-J")</f>
        <v>GS-J</v>
      </c>
      <c r="I344" s="85">
        <v>5.5E-2</v>
      </c>
      <c r="J344" s="79" t="s">
        <v>68</v>
      </c>
      <c r="K344" s="86" t="s">
        <v>68</v>
      </c>
      <c r="L344" s="86" t="s">
        <v>68</v>
      </c>
      <c r="M344" s="86" t="s">
        <v>68</v>
      </c>
      <c r="N344" s="28" t="s">
        <v>31</v>
      </c>
      <c r="O344" s="28" t="s">
        <v>30</v>
      </c>
      <c r="P344" s="28" t="s">
        <v>83</v>
      </c>
      <c r="Q344" s="29">
        <f t="shared" si="193"/>
        <v>0.34375</v>
      </c>
      <c r="R344" s="64">
        <v>45056</v>
      </c>
      <c r="S344" s="54" t="s">
        <v>41</v>
      </c>
      <c r="T344" s="62" t="s">
        <v>314</v>
      </c>
      <c r="U344" s="16">
        <f t="shared" ca="1" si="151"/>
        <v>-2.1698630136986301</v>
      </c>
      <c r="V344" s="11" t="str">
        <v>All</v>
      </c>
      <c r="X344" t="e">
        <f t="shared" ca="1" si="174"/>
        <v>#VALUE!</v>
      </c>
      <c r="Z344" s="17">
        <f t="shared" ca="1" si="175"/>
        <v>46213</v>
      </c>
      <c r="AG344" s="33" t="e">
        <f t="shared" ca="1" si="176"/>
        <v>#VALUE!</v>
      </c>
      <c r="AH344" t="e">
        <f t="shared" ca="1" si="177"/>
        <v>#VALUE!</v>
      </c>
      <c r="AI344" t="e">
        <f t="shared" ca="1" si="178"/>
        <v>#VALUE!</v>
      </c>
      <c r="AJ344" t="e">
        <f t="shared" ca="1" si="179"/>
        <v>#VALUE!</v>
      </c>
      <c r="AK344" t="e">
        <f t="shared" ca="1" si="180"/>
        <v>#VALUE!</v>
      </c>
    </row>
    <row r="345" spans="1:37" ht="17.25" customHeight="1">
      <c r="A345" s="19"/>
      <c r="B345" s="45" t="s">
        <v>313</v>
      </c>
      <c r="C345" s="36" t="s">
        <v>27</v>
      </c>
      <c r="D345" s="36" t="s">
        <v>35</v>
      </c>
      <c r="E345" s="28" t="s">
        <v>117</v>
      </c>
      <c r="F345" s="28" t="s">
        <v>138</v>
      </c>
      <c r="G345" s="28" t="s">
        <v>38</v>
      </c>
      <c r="H345" s="66" t="str">
        <f>HYPERLINK("https://innovativeincomeinvestor.com/security/goldman-sachs-group-dep-shares-float-rate-non-cumul-preferred-stock-series-c/","GS-C")</f>
        <v>GS-C</v>
      </c>
      <c r="I345" s="47">
        <v>0.04</v>
      </c>
      <c r="J345" s="25">
        <f ca="1">IFERROR(__xludf.DUMMYFUNCTION("GoogleFinance(H345)"),21.42)</f>
        <v>21.42</v>
      </c>
      <c r="K345" s="67">
        <f ca="1">IFERROR(__xludf.DUMMYFUNCTION("googlefinance(H345,""change"")"),-0.11)</f>
        <v>-0.11</v>
      </c>
      <c r="L345" s="52" t="s">
        <v>47</v>
      </c>
      <c r="M345" s="52" t="s">
        <v>47</v>
      </c>
      <c r="N345" s="28" t="s">
        <v>31</v>
      </c>
      <c r="O345" s="28" t="s">
        <v>30</v>
      </c>
      <c r="P345" s="28" t="s">
        <v>83</v>
      </c>
      <c r="Q345" s="52" t="s">
        <v>47</v>
      </c>
      <c r="R345" s="64">
        <v>40687</v>
      </c>
      <c r="S345" s="54" t="s">
        <v>41</v>
      </c>
      <c r="T345" s="62" t="s">
        <v>314</v>
      </c>
      <c r="U345" s="16">
        <f t="shared" ca="1" si="151"/>
        <v>-14.139726027397261</v>
      </c>
      <c r="V345" s="11" t="str">
        <v>All</v>
      </c>
      <c r="X345">
        <f t="shared" ca="1" si="174"/>
        <v>0.20169545567055944</v>
      </c>
      <c r="Z345" s="17">
        <f t="shared" ca="1" si="175"/>
        <v>46213</v>
      </c>
      <c r="AG345" s="33">
        <f t="shared" ca="1" si="176"/>
        <v>0.12174965355978212</v>
      </c>
      <c r="AH345">
        <f t="shared" ca="1" si="177"/>
        <v>7.4590718446813656E-2</v>
      </c>
      <c r="AI345">
        <f t="shared" ca="1" si="178"/>
        <v>6.5701095436304188E-2</v>
      </c>
      <c r="AJ345">
        <f t="shared" ca="1" si="179"/>
        <v>5.9073792264164877E-2</v>
      </c>
      <c r="AK345">
        <f t="shared" ca="1" si="180"/>
        <v>5.1517663905438306E-2</v>
      </c>
    </row>
    <row r="346" spans="1:37" ht="17.25" customHeight="1">
      <c r="A346" s="19"/>
      <c r="B346" s="45" t="s">
        <v>313</v>
      </c>
      <c r="C346" s="36" t="s">
        <v>27</v>
      </c>
      <c r="D346" s="36" t="s">
        <v>35</v>
      </c>
      <c r="E346" s="28" t="s">
        <v>117</v>
      </c>
      <c r="F346" s="28" t="s">
        <v>138</v>
      </c>
      <c r="G346" s="28" t="s">
        <v>38</v>
      </c>
      <c r="H346" s="66" t="str">
        <f>HYPERLINK("https://innovativeincomeinvestor.com/security/goldman-sachs-group-dep-shares-float-rate-non-cumul-preferred-stock-series-d/","GS-D")</f>
        <v>GS-D</v>
      </c>
      <c r="I346" s="47">
        <v>0.04</v>
      </c>
      <c r="J346" s="65">
        <f ca="1">IFERROR(__xludf.DUMMYFUNCTION("GoogleFinance(H346)"),21.18)</f>
        <v>21.18</v>
      </c>
      <c r="K346" s="48">
        <f ca="1">IFERROR(__xludf.DUMMYFUNCTION("googlefinance(H346,""change"")"),0.03)</f>
        <v>0.03</v>
      </c>
      <c r="L346" s="52" t="s">
        <v>47</v>
      </c>
      <c r="M346" s="52" t="s">
        <v>47</v>
      </c>
      <c r="N346" s="28" t="s">
        <v>31</v>
      </c>
      <c r="O346" s="28" t="s">
        <v>30</v>
      </c>
      <c r="P346" s="28" t="s">
        <v>83</v>
      </c>
      <c r="Q346" s="52" t="s">
        <v>47</v>
      </c>
      <c r="R346" s="64">
        <v>40482</v>
      </c>
      <c r="S346" s="54" t="s">
        <v>41</v>
      </c>
      <c r="T346" s="62" t="s">
        <v>314</v>
      </c>
      <c r="U346" s="16">
        <f t="shared" ca="1" si="151"/>
        <v>-14.701369863013699</v>
      </c>
      <c r="V346" s="11" t="str">
        <v>All</v>
      </c>
      <c r="X346">
        <f t="shared" ca="1" si="174"/>
        <v>0.21374339373103418</v>
      </c>
      <c r="Z346" s="17">
        <f t="shared" ca="1" si="175"/>
        <v>46213</v>
      </c>
      <c r="AG346" s="33">
        <f t="shared" ca="1" si="176"/>
        <v>0.12778569942159451</v>
      </c>
      <c r="AH346">
        <f t="shared" ca="1" si="177"/>
        <v>7.7138087323022783E-2</v>
      </c>
      <c r="AI346">
        <f t="shared" ca="1" si="178"/>
        <v>6.7596069209654761E-2</v>
      </c>
      <c r="AJ346">
        <f t="shared" ca="1" si="179"/>
        <v>6.048387389016386E-2</v>
      </c>
      <c r="AK346">
        <f t="shared" ca="1" si="180"/>
        <v>5.2378131368050071E-2</v>
      </c>
    </row>
    <row r="347" spans="1:37" ht="17.25" customHeight="1">
      <c r="A347" s="19"/>
      <c r="B347" s="45" t="s">
        <v>313</v>
      </c>
      <c r="C347" s="36" t="s">
        <v>27</v>
      </c>
      <c r="D347" s="36" t="s">
        <v>35</v>
      </c>
      <c r="E347" s="28" t="s">
        <v>117</v>
      </c>
      <c r="F347" s="28" t="s">
        <v>138</v>
      </c>
      <c r="G347" s="28" t="s">
        <v>38</v>
      </c>
      <c r="H347" s="66" t="str">
        <f>HYPERLINK("https://innovativeincomeinvestor.com/security/goldman-sachs-group-dep-shares-float-rate-non-cumul-preferred-stock-series-a/","GS-A")</f>
        <v>GS-A</v>
      </c>
      <c r="I347" s="85">
        <v>3.7499999999999999E-2</v>
      </c>
      <c r="J347" s="65">
        <f ca="1">IFERROR(__xludf.DUMMYFUNCTION("GoogleFinance(H347)"),21.48)</f>
        <v>21.48</v>
      </c>
      <c r="K347" s="48">
        <f ca="1">IFERROR(__xludf.DUMMYFUNCTION("googlefinance(H347,""change"")"),-0.04)</f>
        <v>-0.04</v>
      </c>
      <c r="L347" s="52" t="s">
        <v>47</v>
      </c>
      <c r="M347" s="52" t="s">
        <v>47</v>
      </c>
      <c r="N347" s="28" t="s">
        <v>31</v>
      </c>
      <c r="O347" s="28" t="s">
        <v>30</v>
      </c>
      <c r="P347" s="28" t="s">
        <v>83</v>
      </c>
      <c r="Q347" s="52" t="s">
        <v>47</v>
      </c>
      <c r="R347" s="64">
        <v>40278</v>
      </c>
      <c r="S347" s="54" t="s">
        <v>41</v>
      </c>
      <c r="T347" s="62" t="s">
        <v>314</v>
      </c>
      <c r="U347" s="16">
        <f t="shared" ca="1" si="151"/>
        <v>-15.260273972602739</v>
      </c>
      <c r="V347" s="11" t="str">
        <v>All</v>
      </c>
      <c r="X347">
        <f t="shared" ca="1" si="174"/>
        <v>0.19595625010546749</v>
      </c>
      <c r="Z347" s="17">
        <f t="shared" ca="1" si="175"/>
        <v>46213</v>
      </c>
      <c r="AG347" s="33">
        <f t="shared" ca="1" si="176"/>
        <v>0.11752189505907558</v>
      </c>
      <c r="AH347">
        <f t="shared" ca="1" si="177"/>
        <v>7.1234819349114076E-2</v>
      </c>
      <c r="AI347">
        <f t="shared" ca="1" si="178"/>
        <v>6.2504307980597668E-2</v>
      </c>
      <c r="AJ347">
        <f t="shared" ca="1" si="179"/>
        <v>5.5990997808923748E-2</v>
      </c>
      <c r="AK347">
        <f t="shared" ca="1" si="180"/>
        <v>4.8545959032981346E-2</v>
      </c>
    </row>
    <row r="348" spans="1:37" ht="17.25" customHeight="1">
      <c r="A348" s="19"/>
      <c r="B348" s="45" t="s">
        <v>315</v>
      </c>
      <c r="C348" s="28" t="s">
        <v>35</v>
      </c>
      <c r="D348" s="28" t="s">
        <v>27</v>
      </c>
      <c r="E348" s="28" t="s">
        <v>44</v>
      </c>
      <c r="F348" s="28" t="s">
        <v>46</v>
      </c>
      <c r="G348" s="28" t="s">
        <v>38</v>
      </c>
      <c r="H348" s="23" t="str">
        <f>HYPERLINK("https://innovativeincomeinvestor.com/security/granite-point-mortgage-trust-inc-7-00-series-a-fixed-to-floating-rate-cumulative-redeemable-preferred-stock/","GPMT-A")</f>
        <v>GPMT-A</v>
      </c>
      <c r="I348" s="47">
        <v>7.0000000000000007E-2</v>
      </c>
      <c r="J348" s="198">
        <f ca="1">IFERROR(__xludf.DUMMYFUNCTION("GoogleFinance(H348)"),18.15)</f>
        <v>18.149999999999999</v>
      </c>
      <c r="K348" s="199">
        <f ca="1">IFERROR(__xludf.DUMMYFUNCTION("googlefinance(H348,""change"")"),-0.09)</f>
        <v>-0.09</v>
      </c>
      <c r="L348" s="200">
        <f ca="1">(Q348*4)/J348</f>
        <v>9.6418732782369163E-2</v>
      </c>
      <c r="M348" s="200">
        <f ca="1">(25-J348)/25</f>
        <v>0.27400000000000008</v>
      </c>
      <c r="N348" s="89" t="s">
        <v>31</v>
      </c>
      <c r="O348" s="28" t="s">
        <v>32</v>
      </c>
      <c r="P348" s="28" t="s">
        <v>32</v>
      </c>
      <c r="Q348" s="29">
        <f>(I348*25)/4</f>
        <v>0.43750000000000006</v>
      </c>
      <c r="R348" s="64">
        <v>46402</v>
      </c>
      <c r="S348" s="28" t="s">
        <v>41</v>
      </c>
      <c r="T348" s="62" t="s">
        <v>60</v>
      </c>
      <c r="U348" s="16">
        <f t="shared" ca="1" si="151"/>
        <v>1.5178082191780822</v>
      </c>
      <c r="V348" s="11" t="str">
        <v>All</v>
      </c>
      <c r="X348">
        <f t="shared" ca="1" si="174"/>
        <v>0.41939123952168961</v>
      </c>
      <c r="Z348" s="17">
        <f t="shared" ca="1" si="175"/>
        <v>46213</v>
      </c>
      <c r="AG348" s="33">
        <f t="shared" ca="1" si="176"/>
        <v>0.24787270536460029</v>
      </c>
      <c r="AH348">
        <f t="shared" ca="1" si="177"/>
        <v>0.14866342206385799</v>
      </c>
      <c r="AI348">
        <f t="shared" ca="1" si="178"/>
        <v>0.13028965963205924</v>
      </c>
      <c r="AJ348">
        <f t="shared" ca="1" si="179"/>
        <v>0.11682131300288118</v>
      </c>
      <c r="AK348">
        <f t="shared" ca="1" si="180"/>
        <v>0.10232752112630472</v>
      </c>
    </row>
    <row r="349" spans="1:37" ht="17.25" customHeight="1">
      <c r="A349" s="19"/>
      <c r="B349" s="45" t="s">
        <v>316</v>
      </c>
      <c r="C349" s="28" t="s">
        <v>27</v>
      </c>
      <c r="D349" s="28" t="s">
        <v>27</v>
      </c>
      <c r="E349" s="28" t="s">
        <v>44</v>
      </c>
      <c r="F349" s="28" t="s">
        <v>29</v>
      </c>
      <c r="G349" s="28" t="s">
        <v>317</v>
      </c>
      <c r="H349" s="51" t="str">
        <f>HYPERLINK("https://innovativeincomeinvestor.com/security/great-ajax-7-25/","AJXA")</f>
        <v>AJXA</v>
      </c>
      <c r="I349" s="47">
        <v>7.2499999999999995E-2</v>
      </c>
      <c r="J349" s="79" t="s">
        <v>255</v>
      </c>
      <c r="K349" s="86" t="s">
        <v>255</v>
      </c>
      <c r="L349" s="86" t="s">
        <v>255</v>
      </c>
      <c r="M349" s="86" t="s">
        <v>255</v>
      </c>
      <c r="N349" s="28" t="s">
        <v>31</v>
      </c>
      <c r="O349" s="27" t="s">
        <v>32</v>
      </c>
      <c r="P349" s="27" t="s">
        <v>32</v>
      </c>
      <c r="Q349" s="65">
        <v>0.45300000000000001</v>
      </c>
      <c r="R349" s="64">
        <v>44681</v>
      </c>
      <c r="S349" s="64">
        <v>45412</v>
      </c>
      <c r="T349" s="62" t="s">
        <v>60</v>
      </c>
      <c r="U349" s="16">
        <f t="shared" ca="1" si="151"/>
        <v>-3.1972602739726028</v>
      </c>
      <c r="V349" s="11" t="str">
        <v>All</v>
      </c>
      <c r="X349" t="e">
        <f t="shared" ca="1" si="174"/>
        <v>#VALUE!</v>
      </c>
      <c r="Z349" s="17">
        <f t="shared" ca="1" si="175"/>
        <v>46213</v>
      </c>
      <c r="AG349" s="33" t="e">
        <f t="shared" ca="1" si="176"/>
        <v>#VALUE!</v>
      </c>
      <c r="AH349" t="e">
        <f t="shared" ca="1" si="177"/>
        <v>#VALUE!</v>
      </c>
      <c r="AI349" t="e">
        <f t="shared" ca="1" si="178"/>
        <v>#VALUE!</v>
      </c>
      <c r="AJ349" t="e">
        <f t="shared" ca="1" si="179"/>
        <v>#VALUE!</v>
      </c>
      <c r="AK349" t="e">
        <f t="shared" ca="1" si="180"/>
        <v>#VALUE!</v>
      </c>
    </row>
    <row r="350" spans="1:37" ht="17.25" customHeight="1">
      <c r="A350" s="19"/>
      <c r="B350" s="45" t="s">
        <v>318</v>
      </c>
      <c r="C350" s="28" t="s">
        <v>27</v>
      </c>
      <c r="D350" s="28" t="s">
        <v>27</v>
      </c>
      <c r="E350" s="36" t="s">
        <v>171</v>
      </c>
      <c r="F350" s="36" t="s">
        <v>29</v>
      </c>
      <c r="G350" s="36" t="s">
        <v>30</v>
      </c>
      <c r="H350" s="94" t="str">
        <f>HYPERLINK("https://innovativeincomeinvestor.com/security/great-elm-6-75/","GECCM")</f>
        <v>GECCM</v>
      </c>
      <c r="I350" s="85">
        <v>6.7500000000000004E-2</v>
      </c>
      <c r="J350" s="201" t="s">
        <v>68</v>
      </c>
      <c r="K350" s="86" t="s">
        <v>68</v>
      </c>
      <c r="L350" s="86" t="s">
        <v>68</v>
      </c>
      <c r="M350" s="86" t="s">
        <v>68</v>
      </c>
      <c r="N350" s="28" t="s">
        <v>31</v>
      </c>
      <c r="O350" s="27" t="s">
        <v>32</v>
      </c>
      <c r="P350" s="27" t="s">
        <v>32</v>
      </c>
      <c r="Q350" s="111">
        <f t="shared" ref="Q350:Q352" si="194">(I350*25)/4</f>
        <v>0.421875</v>
      </c>
      <c r="R350" s="61">
        <v>44227</v>
      </c>
      <c r="S350" s="61">
        <v>45688</v>
      </c>
      <c r="T350" s="50" t="s">
        <v>42</v>
      </c>
      <c r="U350" s="16">
        <f t="shared" ca="1" si="151"/>
        <v>-4.441095890410959</v>
      </c>
      <c r="V350" s="11" t="str">
        <v>All</v>
      </c>
      <c r="X350" t="e">
        <f t="shared" ca="1" si="174"/>
        <v>#VALUE!</v>
      </c>
      <c r="Z350" s="17">
        <f t="shared" ca="1" si="175"/>
        <v>46213</v>
      </c>
      <c r="AG350" s="33" t="e">
        <f t="shared" ca="1" si="176"/>
        <v>#VALUE!</v>
      </c>
      <c r="AH350" t="e">
        <f t="shared" ca="1" si="177"/>
        <v>#VALUE!</v>
      </c>
      <c r="AI350" t="e">
        <f t="shared" ca="1" si="178"/>
        <v>#VALUE!</v>
      </c>
      <c r="AJ350" t="e">
        <f t="shared" ca="1" si="179"/>
        <v>#VALUE!</v>
      </c>
      <c r="AK350" t="e">
        <f t="shared" ca="1" si="180"/>
        <v>#VALUE!</v>
      </c>
    </row>
    <row r="351" spans="1:37" ht="17.25" customHeight="1">
      <c r="A351" s="19"/>
      <c r="B351" s="45" t="s">
        <v>318</v>
      </c>
      <c r="C351" s="28" t="s">
        <v>27</v>
      </c>
      <c r="D351" s="28" t="s">
        <v>27</v>
      </c>
      <c r="E351" s="36" t="s">
        <v>171</v>
      </c>
      <c r="F351" s="36" t="s">
        <v>29</v>
      </c>
      <c r="G351" s="36" t="s">
        <v>30</v>
      </c>
      <c r="H351" s="51" t="str">
        <f>HYPERLINK("https://innovativeincomeinvestor.com/security/great-elm-capital-corp-6-50-notes-due-2024/","GECCN")</f>
        <v>GECCN</v>
      </c>
      <c r="I351" s="85">
        <v>6.5000000000000002E-2</v>
      </c>
      <c r="J351" s="86" t="s">
        <v>68</v>
      </c>
      <c r="K351" s="86" t="s">
        <v>68</v>
      </c>
      <c r="L351" s="86" t="s">
        <v>68</v>
      </c>
      <c r="M351" s="86" t="s">
        <v>68</v>
      </c>
      <c r="N351" s="28" t="s">
        <v>31</v>
      </c>
      <c r="O351" s="27" t="s">
        <v>32</v>
      </c>
      <c r="P351" s="27" t="s">
        <v>32</v>
      </c>
      <c r="Q351" s="111">
        <f t="shared" si="194"/>
        <v>0.40625</v>
      </c>
      <c r="R351" s="61">
        <v>44377</v>
      </c>
      <c r="S351" s="61">
        <v>45473</v>
      </c>
      <c r="T351" s="50" t="s">
        <v>42</v>
      </c>
      <c r="U351" s="16">
        <f t="shared" ca="1" si="151"/>
        <v>-4.0301369863013701</v>
      </c>
      <c r="V351" s="11" t="str">
        <v>All</v>
      </c>
      <c r="X351" t="e">
        <f t="shared" ca="1" si="174"/>
        <v>#VALUE!</v>
      </c>
      <c r="Z351" s="17">
        <f t="shared" ca="1" si="175"/>
        <v>46213</v>
      </c>
      <c r="AG351" s="33" t="e">
        <f t="shared" ca="1" si="176"/>
        <v>#VALUE!</v>
      </c>
      <c r="AH351" t="e">
        <f t="shared" ca="1" si="177"/>
        <v>#VALUE!</v>
      </c>
      <c r="AI351" t="e">
        <f t="shared" ca="1" si="178"/>
        <v>#VALUE!</v>
      </c>
      <c r="AJ351" t="e">
        <f t="shared" ca="1" si="179"/>
        <v>#VALUE!</v>
      </c>
      <c r="AK351" t="e">
        <f t="shared" ca="1" si="180"/>
        <v>#VALUE!</v>
      </c>
    </row>
    <row r="352" spans="1:37" ht="17.25" customHeight="1">
      <c r="A352" s="68"/>
      <c r="B352" s="69" t="s">
        <v>318</v>
      </c>
      <c r="C352" s="28" t="s">
        <v>27</v>
      </c>
      <c r="D352" s="28" t="s">
        <v>27</v>
      </c>
      <c r="E352" s="28" t="s">
        <v>171</v>
      </c>
      <c r="F352" s="36" t="s">
        <v>29</v>
      </c>
      <c r="G352" s="28" t="s">
        <v>30</v>
      </c>
      <c r="H352" s="83" t="str">
        <f>HYPERLINK("https://innovativeincomeinvestor.com/security/great-elm-capital-corp-5-875-notes-due-2026/","GECCO")</f>
        <v>GECCO</v>
      </c>
      <c r="I352" s="47">
        <v>5.8749999999999997E-2</v>
      </c>
      <c r="J352" s="150">
        <f ca="1">IFERROR(__xludf.DUMMYFUNCTION("GOOGLEFINANCE(H352)"),25.04)</f>
        <v>25.04</v>
      </c>
      <c r="K352" s="57">
        <f ca="1">IFERROR(__xludf.DUMMYFUNCTION("GOOGLEFINANCE(H352,""change"")"),0)</f>
        <v>0</v>
      </c>
      <c r="L352" s="97">
        <f t="shared" ref="L352:L358" ca="1" si="195">(Q352*4)/J352</f>
        <v>5.8656150159744409E-2</v>
      </c>
      <c r="M352" s="97">
        <f t="shared" ref="M352:M357" ca="1" si="196">L352*U352+(25-J352)/25/U352</f>
        <v>-0.11829189575679895</v>
      </c>
      <c r="N352" s="89" t="s">
        <v>31</v>
      </c>
      <c r="O352" s="97" t="s">
        <v>32</v>
      </c>
      <c r="P352" s="97" t="s">
        <v>32</v>
      </c>
      <c r="Q352" s="91">
        <f t="shared" si="194"/>
        <v>0.3671875</v>
      </c>
      <c r="R352" s="189">
        <v>45107</v>
      </c>
      <c r="S352" s="189">
        <v>46203</v>
      </c>
      <c r="T352" s="93" t="s">
        <v>42</v>
      </c>
      <c r="U352" s="16">
        <f t="shared" ca="1" si="151"/>
        <v>-2.0301369863013701</v>
      </c>
      <c r="V352" s="11" t="str">
        <v>All</v>
      </c>
      <c r="X352">
        <f t="shared" ca="1" si="174"/>
        <v>5.7092502882176537E-2</v>
      </c>
      <c r="Z352" s="17">
        <f t="shared" ca="1" si="175"/>
        <v>46213</v>
      </c>
      <c r="AG352" s="33">
        <f t="shared" ca="1" si="176"/>
        <v>5.7897019242008678E-2</v>
      </c>
      <c r="AH352">
        <f t="shared" ca="1" si="177"/>
        <v>5.8378266737277827E-2</v>
      </c>
      <c r="AI352">
        <f t="shared" ca="1" si="178"/>
        <v>5.846924251357094E-2</v>
      </c>
      <c r="AJ352">
        <f t="shared" ca="1" si="179"/>
        <v>5.8537097572975934E-2</v>
      </c>
      <c r="AK352">
        <f t="shared" ca="1" si="180"/>
        <v>5.861310186653234E-2</v>
      </c>
    </row>
    <row r="353" spans="1:37" ht="17.25" customHeight="1">
      <c r="A353" s="19"/>
      <c r="B353" s="45" t="s">
        <v>318</v>
      </c>
      <c r="C353" s="28" t="s">
        <v>27</v>
      </c>
      <c r="D353" s="28" t="s">
        <v>27</v>
      </c>
      <c r="E353" s="28" t="s">
        <v>171</v>
      </c>
      <c r="F353" s="28" t="s">
        <v>29</v>
      </c>
      <c r="G353" s="28" t="s">
        <v>30</v>
      </c>
      <c r="H353" s="23" t="str">
        <f>HYPERLINK("https://innovativeincomeinvestor.com/security/great-elm-capital-corp-8-75-notes-due-2028/","GECCZ")</f>
        <v>GECCZ</v>
      </c>
      <c r="I353" s="47">
        <v>8.7499999999999994E-2</v>
      </c>
      <c r="J353" s="150">
        <f ca="1">IFERROR(__xludf.DUMMYFUNCTION("GOOGLEFINANCE(H353)"),25.28)</f>
        <v>25.28</v>
      </c>
      <c r="K353" s="57">
        <f ca="1">IFERROR(__xludf.DUMMYFUNCTION("GOOGLEFINANCE(H353,""change"")"),0)</f>
        <v>0</v>
      </c>
      <c r="L353" s="97">
        <f t="shared" ca="1" si="195"/>
        <v>8.7025316455696208E-2</v>
      </c>
      <c r="M353" s="97">
        <f t="shared" ca="1" si="196"/>
        <v>-3.0302765524620943E-2</v>
      </c>
      <c r="N353" s="89" t="s">
        <v>31</v>
      </c>
      <c r="O353" s="97" t="s">
        <v>32</v>
      </c>
      <c r="P353" s="97" t="s">
        <v>32</v>
      </c>
      <c r="Q353" s="111">
        <v>0.55000000000000004</v>
      </c>
      <c r="R353" s="64">
        <v>45930</v>
      </c>
      <c r="S353" s="82">
        <v>47026</v>
      </c>
      <c r="T353" s="62" t="s">
        <v>42</v>
      </c>
      <c r="U353" s="16">
        <f t="shared" ca="1" si="151"/>
        <v>0.22465753424657534</v>
      </c>
      <c r="V353" s="11" t="str">
        <v>All</v>
      </c>
      <c r="X353">
        <f t="shared" ca="1" si="174"/>
        <v>7.5764672018457116E-2</v>
      </c>
      <c r="Z353" s="17">
        <f t="shared" ca="1" si="175"/>
        <v>46213</v>
      </c>
      <c r="AG353" s="33">
        <f t="shared" ca="1" si="176"/>
        <v>8.1375295233876002E-2</v>
      </c>
      <c r="AH353">
        <f t="shared" ca="1" si="177"/>
        <v>8.4726972989906613E-2</v>
      </c>
      <c r="AI353">
        <f t="shared" ca="1" si="178"/>
        <v>8.5355964258154463E-2</v>
      </c>
      <c r="AJ353">
        <f t="shared" ca="1" si="179"/>
        <v>8.5818886601973454E-2</v>
      </c>
      <c r="AK353">
        <f t="shared" ca="1" si="180"/>
        <v>8.631765824855242E-2</v>
      </c>
    </row>
    <row r="354" spans="1:37" ht="17.25" customHeight="1">
      <c r="A354" s="19"/>
      <c r="B354" s="45" t="s">
        <v>318</v>
      </c>
      <c r="C354" s="28" t="s">
        <v>27</v>
      </c>
      <c r="D354" s="28" t="s">
        <v>27</v>
      </c>
      <c r="E354" s="28" t="s">
        <v>171</v>
      </c>
      <c r="F354" s="28" t="s">
        <v>29</v>
      </c>
      <c r="G354" s="28" t="s">
        <v>30</v>
      </c>
      <c r="H354" s="51" t="str">
        <f>HYPERLINK("https://innovativeincomeinvestor.com/security/great-elm-capital-8-50-notes-due-4-30-2029/","GECCI")</f>
        <v>GECCI</v>
      </c>
      <c r="I354" s="47">
        <v>8.5000000000000006E-2</v>
      </c>
      <c r="J354" s="150">
        <f ca="1">IFERROR(__xludf.DUMMYFUNCTION("GOOGLEFINANCE(H354)"),25.12)</f>
        <v>25.12</v>
      </c>
      <c r="K354" s="57">
        <f ca="1">IFERROR(__xludf.DUMMYFUNCTION("GOOGLEFINANCE(H354,""change"")"),-0.06)</f>
        <v>-0.06</v>
      </c>
      <c r="L354" s="97">
        <f t="shared" ca="1" si="195"/>
        <v>8.455414012738853E-2</v>
      </c>
      <c r="M354" s="97">
        <f t="shared" ca="1" si="196"/>
        <v>6.2147438785303794E-2</v>
      </c>
      <c r="N354" s="89" t="s">
        <v>31</v>
      </c>
      <c r="O354" s="97" t="s">
        <v>32</v>
      </c>
      <c r="P354" s="97" t="s">
        <v>32</v>
      </c>
      <c r="Q354" s="111">
        <v>0.53100000000000003</v>
      </c>
      <c r="R354" s="64">
        <v>46142</v>
      </c>
      <c r="S354" s="82">
        <v>47238</v>
      </c>
      <c r="T354" s="62" t="s">
        <v>42</v>
      </c>
      <c r="U354" s="16">
        <f t="shared" ca="1" si="151"/>
        <v>0.80547945205479454</v>
      </c>
      <c r="V354" s="11" t="str">
        <v>All</v>
      </c>
      <c r="X354">
        <f t="shared" ca="1" si="174"/>
        <v>7.9957753185402727E-2</v>
      </c>
      <c r="Z354" s="17">
        <f t="shared" ca="1" si="175"/>
        <v>46213</v>
      </c>
      <c r="AG354" s="33">
        <f t="shared" ca="1" si="176"/>
        <v>8.2372308078782874E-2</v>
      </c>
      <c r="AH354">
        <f t="shared" ca="1" si="177"/>
        <v>8.3813831736956904E-2</v>
      </c>
      <c r="AI354">
        <f t="shared" ca="1" si="178"/>
        <v>8.4084372304014068E-2</v>
      </c>
      <c r="AJ354">
        <f t="shared" ca="1" si="179"/>
        <v>8.4283910411248719E-2</v>
      </c>
      <c r="AK354">
        <f t="shared" ca="1" si="180"/>
        <v>8.4499277214330509E-2</v>
      </c>
    </row>
    <row r="355" spans="1:37" ht="17.25" customHeight="1">
      <c r="A355" s="19"/>
      <c r="B355" s="45" t="s">
        <v>318</v>
      </c>
      <c r="C355" s="28" t="s">
        <v>27</v>
      </c>
      <c r="D355" s="28" t="s">
        <v>27</v>
      </c>
      <c r="E355" s="28" t="s">
        <v>171</v>
      </c>
      <c r="F355" s="28" t="s">
        <v>29</v>
      </c>
      <c r="G355" s="28" t="s">
        <v>30</v>
      </c>
      <c r="H355" s="202" t="str">
        <f>HYPERLINK("https://www.greatelmcc.com/overview/default.aspx","GECCH")</f>
        <v>GECCH</v>
      </c>
      <c r="I355" s="47">
        <v>8.1250000000000003E-2</v>
      </c>
      <c r="J355" s="150">
        <f ca="1">IFERROR(__xludf.DUMMYFUNCTION("GOOGLEFINANCE(H355)"),25.02)</f>
        <v>25.02</v>
      </c>
      <c r="K355" s="57">
        <f ca="1">IFERROR(__xludf.DUMMYFUNCTION("GOOGLEFINANCE(H355,""change"")"),-0.14)</f>
        <v>-0.14000000000000001</v>
      </c>
      <c r="L355" s="97">
        <f t="shared" ca="1" si="195"/>
        <v>8.1055155875299767E-2</v>
      </c>
      <c r="M355" s="97">
        <f t="shared" ca="1" si="196"/>
        <v>0.11915340402088072</v>
      </c>
      <c r="N355" s="89" t="s">
        <v>31</v>
      </c>
      <c r="O355" s="97" t="s">
        <v>32</v>
      </c>
      <c r="P355" s="97" t="s">
        <v>32</v>
      </c>
      <c r="Q355" s="111">
        <v>0.50700000000000001</v>
      </c>
      <c r="R355" s="64">
        <v>46387</v>
      </c>
      <c r="S355" s="82">
        <v>47483</v>
      </c>
      <c r="T355" s="62" t="s">
        <v>42</v>
      </c>
      <c r="U355" s="16">
        <f t="shared" ca="1" si="151"/>
        <v>1.4767123287671233</v>
      </c>
      <c r="V355" s="11" t="str">
        <v>All</v>
      </c>
      <c r="X355">
        <f t="shared" ca="1" si="174"/>
        <v>8.0409395215574761E-2</v>
      </c>
      <c r="Z355" s="17">
        <f t="shared" ca="1" si="175"/>
        <v>46213</v>
      </c>
      <c r="AG355" s="33">
        <f t="shared" ca="1" si="176"/>
        <v>8.0812785991451835E-2</v>
      </c>
      <c r="AH355">
        <f t="shared" ca="1" si="177"/>
        <v>8.1053164783490908E-2</v>
      </c>
      <c r="AI355">
        <f t="shared" ca="1" si="178"/>
        <v>8.1098175020824351E-2</v>
      </c>
      <c r="AJ355">
        <f t="shared" ca="1" si="179"/>
        <v>8.1131748398210413E-2</v>
      </c>
      <c r="AK355">
        <f t="shared" ca="1" si="180"/>
        <v>8.1167678266584303E-2</v>
      </c>
    </row>
    <row r="356" spans="1:37" ht="17.25" customHeight="1">
      <c r="A356" s="19"/>
      <c r="B356" s="45" t="s">
        <v>319</v>
      </c>
      <c r="C356" s="28" t="s">
        <v>27</v>
      </c>
      <c r="D356" s="28" t="s">
        <v>27</v>
      </c>
      <c r="E356" s="28" t="s">
        <v>67</v>
      </c>
      <c r="F356" s="28" t="s">
        <v>29</v>
      </c>
      <c r="G356" s="28" t="s">
        <v>30</v>
      </c>
      <c r="H356" s="23" t="str">
        <f>HYPERLINK("https://innovativeincomeinvestor.com/security/great-elm-group-inc-7-25-notes-due-2027/","GEGGL")</f>
        <v>GEGGL</v>
      </c>
      <c r="I356" s="47">
        <v>7.2499999999999995E-2</v>
      </c>
      <c r="J356" s="150">
        <f ca="1">IFERROR(__xludf.DUMMYFUNCTION("GOOGLEFINANCE(H356)"),23.46)</f>
        <v>23.46</v>
      </c>
      <c r="K356" s="113">
        <f ca="1">IFERROR(__xludf.DUMMYFUNCTION("GOOGLEFINANCE(H356,""change"")"),0)</f>
        <v>0</v>
      </c>
      <c r="L356" s="97">
        <f t="shared" ca="1" si="195"/>
        <v>7.6726342710997444E-2</v>
      </c>
      <c r="M356" s="97">
        <f t="shared" ca="1" si="196"/>
        <v>-0.13878576762545397</v>
      </c>
      <c r="N356" s="28" t="s">
        <v>31</v>
      </c>
      <c r="O356" s="28" t="s">
        <v>32</v>
      </c>
      <c r="P356" s="28" t="s">
        <v>32</v>
      </c>
      <c r="Q356" s="111">
        <v>0.45</v>
      </c>
      <c r="R356" s="64">
        <v>45473</v>
      </c>
      <c r="S356" s="82">
        <v>46568</v>
      </c>
      <c r="T356" s="62" t="s">
        <v>42</v>
      </c>
      <c r="U356" s="16">
        <f t="shared" ca="1" si="151"/>
        <v>-1.0273972602739727</v>
      </c>
      <c r="V356" s="11" t="str">
        <v>All</v>
      </c>
      <c r="X356">
        <f t="shared" ca="1" si="174"/>
        <v>0.13956537833756066</v>
      </c>
      <c r="Z356" s="17">
        <f t="shared" ca="1" si="175"/>
        <v>46213</v>
      </c>
      <c r="AG356" s="33">
        <f t="shared" ca="1" si="176"/>
        <v>0.1071262934312332</v>
      </c>
      <c r="AH356">
        <f t="shared" ca="1" si="177"/>
        <v>8.786264949214935E-2</v>
      </c>
      <c r="AI356">
        <f t="shared" ca="1" si="178"/>
        <v>8.4244103127344733E-2</v>
      </c>
      <c r="AJ356">
        <f t="shared" ca="1" si="179"/>
        <v>8.1572236123356609E-2</v>
      </c>
      <c r="AK356">
        <f t="shared" ca="1" si="180"/>
        <v>7.8637758488011619E-2</v>
      </c>
    </row>
    <row r="357" spans="1:37" ht="17.25" customHeight="1">
      <c r="A357" s="19"/>
      <c r="B357" s="45" t="s">
        <v>320</v>
      </c>
      <c r="C357" s="28" t="s">
        <v>35</v>
      </c>
      <c r="D357" s="28" t="s">
        <v>35</v>
      </c>
      <c r="E357" s="28" t="s">
        <v>67</v>
      </c>
      <c r="F357" s="28" t="s">
        <v>29</v>
      </c>
      <c r="G357" s="28" t="s">
        <v>38</v>
      </c>
      <c r="H357" s="83" t="str">
        <f>HYPERLINK("https://innovativeincomeinvestor.com/security/green-brick-partners-inc-5-75-series-a-cumulative-perpetual-preferred-stock/","GRBK-A")</f>
        <v>GRBK-A</v>
      </c>
      <c r="I357" s="47">
        <v>5.7500000000000002E-2</v>
      </c>
      <c r="J357" s="26">
        <f ca="1">IFERROR(__xludf.DUMMYFUNCTION("GOOGLEFINANCE(H357)"),23.68)</f>
        <v>23.68</v>
      </c>
      <c r="K357" s="26">
        <f ca="1">IFERROR(__xludf.DUMMYFUNCTION("GOOGLEFINANCE(H357,""change"")"),0.3)</f>
        <v>0.3</v>
      </c>
      <c r="L357" s="27">
        <f t="shared" ca="1" si="195"/>
        <v>6.064189189189189E-2</v>
      </c>
      <c r="M357" s="27">
        <f t="shared" ca="1" si="196"/>
        <v>0.12451527735071966</v>
      </c>
      <c r="N357" s="28" t="s">
        <v>31</v>
      </c>
      <c r="O357" s="27" t="s">
        <v>32</v>
      </c>
      <c r="P357" s="27" t="s">
        <v>32</v>
      </c>
      <c r="Q357" s="111">
        <v>0.35899999999999999</v>
      </c>
      <c r="R357" s="64">
        <v>46379</v>
      </c>
      <c r="S357" s="28" t="s">
        <v>41</v>
      </c>
      <c r="T357" s="62" t="s">
        <v>52</v>
      </c>
      <c r="U357" s="16">
        <f t="shared" ca="1" si="151"/>
        <v>1.4547945205479451</v>
      </c>
      <c r="V357" s="11" t="str">
        <v>All</v>
      </c>
      <c r="X357">
        <f t="shared" ca="1" si="174"/>
        <v>0.11411887947146325</v>
      </c>
      <c r="Z357" s="17">
        <f t="shared" ca="1" si="175"/>
        <v>46213</v>
      </c>
      <c r="AG357" s="33">
        <f t="shared" ca="1" si="176"/>
        <v>8.6534208755740402E-2</v>
      </c>
      <c r="AH357">
        <f t="shared" ca="1" si="177"/>
        <v>7.0115884283167382E-2</v>
      </c>
      <c r="AI357">
        <f t="shared" ca="1" si="178"/>
        <v>6.7017287405247469E-2</v>
      </c>
      <c r="AJ357">
        <f t="shared" ca="1" si="179"/>
        <v>6.4715151273942936E-2</v>
      </c>
      <c r="AK357">
        <f t="shared" ca="1" si="180"/>
        <v>6.2130666864683923E-2</v>
      </c>
    </row>
    <row r="358" spans="1:37" ht="17.25" customHeight="1">
      <c r="A358" s="68"/>
      <c r="B358" s="69" t="s">
        <v>321</v>
      </c>
      <c r="C358" s="28" t="s">
        <v>27</v>
      </c>
      <c r="D358" s="28" t="s">
        <v>27</v>
      </c>
      <c r="E358" s="28" t="s">
        <v>67</v>
      </c>
      <c r="F358" s="36" t="s">
        <v>29</v>
      </c>
      <c r="G358" s="28" t="s">
        <v>30</v>
      </c>
      <c r="H358" s="23" t="str">
        <f>HYPERLINK("https://innovativeincomeinvestor.com/security/greenidge-generation-holdings-inc-8-50-senior-notes-due-2026/","GREEL")</f>
        <v>GREEL</v>
      </c>
      <c r="I358" s="47">
        <v>8.5000000000000006E-2</v>
      </c>
      <c r="J358" s="203">
        <f ca="1">IFERROR(__xludf.DUMMYFUNCTION("GOOGLEFINANCE(H358)"),8.49)</f>
        <v>8.49</v>
      </c>
      <c r="K358" s="26">
        <f ca="1">IFERROR(__xludf.DUMMYFUNCTION("GOOGLEFINANCE(H358,""change"")"),-0.42)</f>
        <v>-0.42</v>
      </c>
      <c r="L358" s="27">
        <f t="shared" ca="1" si="195"/>
        <v>0.24970553592461719</v>
      </c>
      <c r="M358" s="27">
        <f ca="1">(25-J358)/25</f>
        <v>0.66039999999999988</v>
      </c>
      <c r="N358" s="28" t="s">
        <v>31</v>
      </c>
      <c r="O358" s="27" t="s">
        <v>32</v>
      </c>
      <c r="P358" s="27" t="s">
        <v>32</v>
      </c>
      <c r="Q358" s="111">
        <v>0.53</v>
      </c>
      <c r="R358" s="64">
        <v>45230</v>
      </c>
      <c r="S358" s="64">
        <v>46326</v>
      </c>
      <c r="T358" s="62" t="s">
        <v>79</v>
      </c>
      <c r="U358" s="16">
        <f t="shared" ca="1" si="151"/>
        <v>-1.6931506849315068</v>
      </c>
      <c r="V358" s="11" t="str">
        <v>All</v>
      </c>
      <c r="X358">
        <f t="shared" ca="1" si="174"/>
        <v>1.416400167800298</v>
      </c>
      <c r="Z358" s="17">
        <f t="shared" ca="1" si="175"/>
        <v>46213</v>
      </c>
      <c r="AG358" s="33">
        <f t="shared" ca="1" si="176"/>
        <v>0.74586130157087005</v>
      </c>
      <c r="AH358">
        <f t="shared" ca="1" si="177"/>
        <v>0.39011983477617485</v>
      </c>
      <c r="AI358">
        <f t="shared" ca="1" si="178"/>
        <v>0.32898636208272225</v>
      </c>
      <c r="AJ358">
        <f t="shared" ca="1" si="179"/>
        <v>0.28747035210781008</v>
      </c>
      <c r="AK358">
        <f t="shared" ca="1" si="180"/>
        <v>0.25389954859541403</v>
      </c>
    </row>
    <row r="359" spans="1:37" ht="17.25" customHeight="1">
      <c r="A359" s="68"/>
      <c r="B359" s="69" t="s">
        <v>322</v>
      </c>
      <c r="C359" s="28" t="s">
        <v>27</v>
      </c>
      <c r="D359" s="28" t="s">
        <v>27</v>
      </c>
      <c r="E359" s="28" t="s">
        <v>110</v>
      </c>
      <c r="F359" s="36" t="s">
        <v>29</v>
      </c>
      <c r="G359" s="28" t="s">
        <v>30</v>
      </c>
      <c r="H359" s="51" t="str">
        <f>HYPERLINK("https://innovativeincomeinvestor.com/security/hancock-holding-company-5-95-subordinated-notes-due-2045/","HWCPL")</f>
        <v>HWCPL</v>
      </c>
      <c r="I359" s="47">
        <v>5.9499999999999997E-2</v>
      </c>
      <c r="J359" s="79" t="s">
        <v>68</v>
      </c>
      <c r="K359" s="86" t="s">
        <v>68</v>
      </c>
      <c r="L359" s="86" t="s">
        <v>68</v>
      </c>
      <c r="M359" s="86" t="s">
        <v>68</v>
      </c>
      <c r="N359" s="28" t="s">
        <v>39</v>
      </c>
      <c r="O359" s="28" t="s">
        <v>55</v>
      </c>
      <c r="P359" s="28" t="s">
        <v>64</v>
      </c>
      <c r="Q359" s="65">
        <v>0.37</v>
      </c>
      <c r="R359" s="64">
        <v>43997</v>
      </c>
      <c r="S359" s="64">
        <v>53128</v>
      </c>
      <c r="T359" s="62" t="s">
        <v>52</v>
      </c>
      <c r="U359" s="16">
        <f t="shared" ca="1" si="151"/>
        <v>-5.0712328767123287</v>
      </c>
      <c r="V359" s="11" t="str">
        <v>All</v>
      </c>
      <c r="X359" t="e">
        <f t="shared" ca="1" si="174"/>
        <v>#VALUE!</v>
      </c>
      <c r="Z359" s="17">
        <f t="shared" ca="1" si="175"/>
        <v>46213</v>
      </c>
      <c r="AG359" s="33" t="e">
        <f t="shared" ca="1" si="176"/>
        <v>#VALUE!</v>
      </c>
      <c r="AH359" t="e">
        <f t="shared" ca="1" si="177"/>
        <v>#VALUE!</v>
      </c>
      <c r="AI359" t="e">
        <f t="shared" ca="1" si="178"/>
        <v>#VALUE!</v>
      </c>
      <c r="AJ359" t="e">
        <f t="shared" ca="1" si="179"/>
        <v>#VALUE!</v>
      </c>
      <c r="AK359" t="e">
        <f t="shared" ca="1" si="180"/>
        <v>#VALUE!</v>
      </c>
    </row>
    <row r="360" spans="1:37" ht="17.25" customHeight="1">
      <c r="A360" s="19"/>
      <c r="B360" s="45" t="s">
        <v>322</v>
      </c>
      <c r="C360" s="28" t="s">
        <v>27</v>
      </c>
      <c r="D360" s="28" t="s">
        <v>27</v>
      </c>
      <c r="E360" s="28" t="s">
        <v>110</v>
      </c>
      <c r="F360" s="36" t="s">
        <v>29</v>
      </c>
      <c r="G360" s="28" t="s">
        <v>30</v>
      </c>
      <c r="H360" s="119" t="str">
        <f>HYPERLINK("https://innovativeincomeinvestor.com/security/hancock-whitney-corporation-6-25-notes-due-2020/","HWCPZ")</f>
        <v>HWCPZ</v>
      </c>
      <c r="I360" s="47">
        <v>6.25E-2</v>
      </c>
      <c r="J360" s="128">
        <f ca="1">IFERROR(__xludf.DUMMYFUNCTION("GOOGLEFINANCE(H360)"),23.31)</f>
        <v>23.31</v>
      </c>
      <c r="K360" s="26" t="s">
        <v>49</v>
      </c>
      <c r="L360" s="27">
        <f t="shared" ref="L360:L362" ca="1" si="197">Q360*4/J360</f>
        <v>6.6924066924066924E-2</v>
      </c>
      <c r="M360" s="27">
        <f t="shared" ref="M360:M363" ca="1" si="198">L360*U360+(25-J360)/25/U360</f>
        <v>-0.9915438402002793</v>
      </c>
      <c r="N360" s="28" t="s">
        <v>39</v>
      </c>
      <c r="O360" s="28" t="s">
        <v>55</v>
      </c>
      <c r="P360" s="28" t="s">
        <v>64</v>
      </c>
      <c r="Q360" s="65">
        <v>0.39</v>
      </c>
      <c r="R360" s="64">
        <v>45823</v>
      </c>
      <c r="S360" s="64">
        <v>58607</v>
      </c>
      <c r="T360" s="62" t="s">
        <v>52</v>
      </c>
      <c r="U360" s="16">
        <f t="shared" ca="1" si="151"/>
        <v>-6.8493150684931503E-2</v>
      </c>
      <c r="V360" s="11" t="str">
        <v>All</v>
      </c>
      <c r="X360">
        <f t="shared" ca="1" si="174"/>
        <v>0.13593938172674871</v>
      </c>
      <c r="Z360" s="17">
        <f t="shared" ca="1" si="175"/>
        <v>46213</v>
      </c>
      <c r="AG360" s="33">
        <f t="shared" ca="1" si="176"/>
        <v>0.10022084886252047</v>
      </c>
      <c r="AH360">
        <f t="shared" ca="1" si="177"/>
        <v>7.9004157648563292E-2</v>
      </c>
      <c r="AI360">
        <f t="shared" ca="1" si="178"/>
        <v>7.5008507492365997E-2</v>
      </c>
      <c r="AJ360">
        <f t="shared" ca="1" si="179"/>
        <v>7.2046449287848285E-2</v>
      </c>
      <c r="AK360">
        <f t="shared" ca="1" si="180"/>
        <v>6.8746259711255406E-2</v>
      </c>
    </row>
    <row r="361" spans="1:37" ht="17.25" customHeight="1">
      <c r="A361" s="19"/>
      <c r="B361" s="45" t="s">
        <v>323</v>
      </c>
      <c r="C361" s="28" t="s">
        <v>27</v>
      </c>
      <c r="D361" s="28" t="s">
        <v>27</v>
      </c>
      <c r="E361" s="28" t="s">
        <v>67</v>
      </c>
      <c r="F361" s="36" t="s">
        <v>29</v>
      </c>
      <c r="G361" s="28" t="s">
        <v>30</v>
      </c>
      <c r="H361" s="46" t="str">
        <f>HYPERLINK("https://innovativeincomeinvestor.com/security/harrow-health-inc-8-625-senior-notes-due-2026/","HROWL")</f>
        <v>HROWL</v>
      </c>
      <c r="I361" s="47">
        <v>8.6249999999999993E-2</v>
      </c>
      <c r="J361" s="128">
        <f ca="1">IFERROR(__xludf.DUMMYFUNCTION("GOOGLEFINANCE(H361)"),25.56)</f>
        <v>25.56</v>
      </c>
      <c r="K361" s="26" t="s">
        <v>49</v>
      </c>
      <c r="L361" s="27">
        <f t="shared" ca="1" si="197"/>
        <v>8.4507042253521139E-2</v>
      </c>
      <c r="M361" s="27">
        <f t="shared" ca="1" si="198"/>
        <v>8.0050651026789474E-3</v>
      </c>
      <c r="N361" s="28" t="s">
        <v>31</v>
      </c>
      <c r="O361" s="28" t="s">
        <v>32</v>
      </c>
      <c r="P361" s="28" t="s">
        <v>32</v>
      </c>
      <c r="Q361" s="29">
        <v>0.54</v>
      </c>
      <c r="R361" s="64">
        <v>46054</v>
      </c>
      <c r="S361" s="82">
        <v>46142</v>
      </c>
      <c r="T361" s="62" t="s">
        <v>79</v>
      </c>
      <c r="U361" s="16">
        <f t="shared" ca="1" si="151"/>
        <v>0.56438356164383563</v>
      </c>
      <c r="V361" s="11" t="str">
        <v>All</v>
      </c>
      <c r="X361">
        <f t="shared" ca="1" si="174"/>
        <v>6.2961654053330221E-2</v>
      </c>
      <c r="Z361" s="17">
        <f t="shared" ca="1" si="175"/>
        <v>46213</v>
      </c>
      <c r="AG361" s="33">
        <f t="shared" ca="1" si="176"/>
        <v>7.4096400482253813E-2</v>
      </c>
      <c r="AH361">
        <f t="shared" ca="1" si="177"/>
        <v>8.0757280914946383E-2</v>
      </c>
      <c r="AI361">
        <f t="shared" ca="1" si="178"/>
        <v>8.2008885143427926E-2</v>
      </c>
      <c r="AJ361">
        <f t="shared" ca="1" si="179"/>
        <v>8.2930475661004796E-2</v>
      </c>
      <c r="AK361">
        <f t="shared" ca="1" si="180"/>
        <v>8.39274470343917E-2</v>
      </c>
    </row>
    <row r="362" spans="1:37" ht="17.25" customHeight="1">
      <c r="A362" s="19"/>
      <c r="B362" s="45" t="s">
        <v>323</v>
      </c>
      <c r="C362" s="28" t="s">
        <v>27</v>
      </c>
      <c r="D362" s="28" t="s">
        <v>27</v>
      </c>
      <c r="E362" s="28" t="s">
        <v>67</v>
      </c>
      <c r="F362" s="36" t="s">
        <v>29</v>
      </c>
      <c r="G362" s="28" t="s">
        <v>30</v>
      </c>
      <c r="H362" s="23" t="str">
        <f>HYPERLINK("https://innovativeincomeinvestor.com/security/harrow-health-inc-11-875-senior-notes-due-2027/","HROWM")</f>
        <v>HROWM</v>
      </c>
      <c r="I362" s="47">
        <v>0.11874999999999999</v>
      </c>
      <c r="J362" s="128">
        <f ca="1">IFERROR(__xludf.DUMMYFUNCTION("GOOGLEFINANCE(H362)"),26.48)</f>
        <v>26.48</v>
      </c>
      <c r="K362" s="26" t="s">
        <v>49</v>
      </c>
      <c r="L362" s="27">
        <f t="shared" ca="1" si="197"/>
        <v>0.11178247734138973</v>
      </c>
      <c r="M362" s="27">
        <f t="shared" ca="1" si="198"/>
        <v>5.4636497799738427E-2</v>
      </c>
      <c r="N362" s="28" t="s">
        <v>31</v>
      </c>
      <c r="O362" s="28" t="s">
        <v>32</v>
      </c>
      <c r="P362" s="28" t="s">
        <v>32</v>
      </c>
      <c r="Q362" s="29">
        <v>0.74</v>
      </c>
      <c r="R362" s="64">
        <v>45657</v>
      </c>
      <c r="S362" s="82">
        <v>46752</v>
      </c>
      <c r="T362" s="62" t="s">
        <v>79</v>
      </c>
      <c r="U362" s="16">
        <f t="shared" ca="1" si="151"/>
        <v>-0.52328767123287667</v>
      </c>
      <c r="V362" s="11" t="str">
        <v>All</v>
      </c>
      <c r="X362">
        <f t="shared" ca="1" si="174"/>
        <v>5.7410670491542068E-2</v>
      </c>
      <c r="Z362" s="17">
        <f t="shared" ca="1" si="175"/>
        <v>46213</v>
      </c>
      <c r="AG362" s="33">
        <f t="shared" ca="1" si="176"/>
        <v>8.6207897615217507E-2</v>
      </c>
      <c r="AH362">
        <f t="shared" ca="1" si="177"/>
        <v>0.10342908427845125</v>
      </c>
      <c r="AI362">
        <f t="shared" ca="1" si="178"/>
        <v>0.106632026812781</v>
      </c>
      <c r="AJ362">
        <f t="shared" ca="1" si="179"/>
        <v>0.10895329486320517</v>
      </c>
      <c r="AK362">
        <f t="shared" ca="1" si="180"/>
        <v>0.11133034919134395</v>
      </c>
    </row>
    <row r="363" spans="1:37" ht="17.25" customHeight="1">
      <c r="A363" s="19"/>
      <c r="B363" s="45" t="s">
        <v>324</v>
      </c>
      <c r="C363" s="28" t="s">
        <v>27</v>
      </c>
      <c r="D363" s="28" t="s">
        <v>35</v>
      </c>
      <c r="E363" s="28" t="s">
        <v>28</v>
      </c>
      <c r="F363" s="36" t="s">
        <v>29</v>
      </c>
      <c r="G363" s="28" t="s">
        <v>38</v>
      </c>
      <c r="H363" s="66" t="str">
        <f>HYPERLINK("https://innovativeincomeinvestor.com/security/hartford-financial-serices-group-6-non-cumulative-preferred-stock-series-g/","HIG-G")</f>
        <v>HIG-G</v>
      </c>
      <c r="I363" s="47">
        <v>0.06</v>
      </c>
      <c r="J363" s="26">
        <f ca="1">IFERROR(__xludf.DUMMYFUNCTION("GOOGLEFINANCE(H363)"),25.06)</f>
        <v>25.06</v>
      </c>
      <c r="K363" s="26">
        <f ca="1">IFERROR(__xludf.DUMMYFUNCTION("GOOGLEFINANCE(H363,""change"")"),-0.11)</f>
        <v>-0.11</v>
      </c>
      <c r="L363" s="27">
        <f t="shared" ref="L363:L365" ca="1" si="199">(Q363*4)/J363</f>
        <v>5.9856344772545894E-2</v>
      </c>
      <c r="M363" s="27">
        <f t="shared" ca="1" si="198"/>
        <v>-9.743322504555145E-2</v>
      </c>
      <c r="N363" s="28" t="s">
        <v>39</v>
      </c>
      <c r="O363" s="28" t="s">
        <v>55</v>
      </c>
      <c r="P363" s="28" t="s">
        <v>64</v>
      </c>
      <c r="Q363" s="29">
        <f t="shared" ref="Q363:Q370" si="200">(I363*25)/4</f>
        <v>0.375</v>
      </c>
      <c r="R363" s="64">
        <v>45245</v>
      </c>
      <c r="S363" s="28" t="s">
        <v>41</v>
      </c>
      <c r="T363" s="62" t="s">
        <v>33</v>
      </c>
      <c r="U363" s="16">
        <f t="shared" ca="1" si="151"/>
        <v>-1.6520547945205479</v>
      </c>
      <c r="V363" s="11" t="str">
        <v>All</v>
      </c>
      <c r="X363">
        <f t="shared" ca="1" si="174"/>
        <v>5.7513114575455652E-2</v>
      </c>
      <c r="Z363" s="17">
        <f t="shared" ca="1" si="175"/>
        <v>46213</v>
      </c>
      <c r="AG363" s="33">
        <f t="shared" ca="1" si="176"/>
        <v>5.8719381316642054E-2</v>
      </c>
      <c r="AH363">
        <f t="shared" ca="1" si="177"/>
        <v>5.944106173441295E-2</v>
      </c>
      <c r="AI363">
        <f t="shared" ca="1" si="178"/>
        <v>5.9577491022920585E-2</v>
      </c>
      <c r="AJ363">
        <f t="shared" ca="1" si="179"/>
        <v>5.9679117404749724E-2</v>
      </c>
      <c r="AK363">
        <f t="shared" ca="1" si="180"/>
        <v>5.9792905123187599E-2</v>
      </c>
    </row>
    <row r="364" spans="1:37" ht="17.25" customHeight="1">
      <c r="A364" s="19"/>
      <c r="B364" s="45" t="s">
        <v>325</v>
      </c>
      <c r="C364" s="28" t="s">
        <v>27</v>
      </c>
      <c r="D364" s="28" t="s">
        <v>27</v>
      </c>
      <c r="E364" s="28" t="s">
        <v>54</v>
      </c>
      <c r="F364" s="36" t="s">
        <v>29</v>
      </c>
      <c r="G364" s="28" t="s">
        <v>38</v>
      </c>
      <c r="H364" s="23" t="str">
        <f>HYPERLINK("https://innovativeincomeinvestor.com/security/hennessy-advisors-4-875/","HNNAZ")</f>
        <v>HNNAZ</v>
      </c>
      <c r="I364" s="47">
        <v>4.8750000000000002E-2</v>
      </c>
      <c r="J364" s="128">
        <f ca="1">IFERROR(__xludf.DUMMYFUNCTION("GOOGLEFINANCE(H364)"),24.65)</f>
        <v>24.65</v>
      </c>
      <c r="K364" s="26">
        <f ca="1">IFERROR(__xludf.DUMMYFUNCTION("GOOGLEFINANCE(H364,""change"")"),0.05)</f>
        <v>0.05</v>
      </c>
      <c r="L364" s="27">
        <f t="shared" ca="1" si="199"/>
        <v>4.9442190669371201E-2</v>
      </c>
      <c r="M364" s="27">
        <f t="shared" ref="M364:M365" ca="1" si="201">(25-J364)/25</f>
        <v>1.4000000000000058E-2</v>
      </c>
      <c r="N364" s="28" t="s">
        <v>31</v>
      </c>
      <c r="O364" s="28" t="s">
        <v>32</v>
      </c>
      <c r="P364" s="28" t="s">
        <v>32</v>
      </c>
      <c r="Q364" s="29">
        <f t="shared" si="200"/>
        <v>0.3046875</v>
      </c>
      <c r="R364" s="64">
        <v>45291</v>
      </c>
      <c r="S364" s="82">
        <v>46387</v>
      </c>
      <c r="T364" s="62" t="s">
        <v>42</v>
      </c>
      <c r="U364" s="16">
        <f t="shared" ca="1" si="151"/>
        <v>-1.526027397260274</v>
      </c>
      <c r="V364" s="11" t="str">
        <v>All</v>
      </c>
      <c r="X364">
        <f t="shared" ca="1" si="174"/>
        <v>6.3308296647951734E-2</v>
      </c>
      <c r="Z364" s="17">
        <f t="shared" ca="1" si="175"/>
        <v>46213</v>
      </c>
      <c r="AG364" s="33">
        <f t="shared" ca="1" si="176"/>
        <v>5.6199775708742426E-2</v>
      </c>
      <c r="AH364">
        <f t="shared" ca="1" si="177"/>
        <v>5.194876875936872E-2</v>
      </c>
      <c r="AI364">
        <f t="shared" ca="1" si="178"/>
        <v>5.1143237281726039E-2</v>
      </c>
      <c r="AJ364">
        <f t="shared" ca="1" si="179"/>
        <v>5.054267226518451E-2</v>
      </c>
      <c r="AK364">
        <f t="shared" ca="1" si="180"/>
        <v>4.9860240139523553E-2</v>
      </c>
    </row>
    <row r="365" spans="1:37" ht="17.25" customHeight="1">
      <c r="A365" s="19"/>
      <c r="B365" s="45" t="s">
        <v>326</v>
      </c>
      <c r="C365" s="28" t="s">
        <v>27</v>
      </c>
      <c r="D365" s="28" t="s">
        <v>27</v>
      </c>
      <c r="E365" s="28" t="s">
        <v>171</v>
      </c>
      <c r="F365" s="36" t="s">
        <v>29</v>
      </c>
      <c r="G365" s="28" t="s">
        <v>30</v>
      </c>
      <c r="H365" s="66" t="str">
        <f>HYPERLINK("https://innovativeincomeinvestor.com/security/hercules-capital-6-25-notes-due-2033/","HCXY")</f>
        <v>HCXY</v>
      </c>
      <c r="I365" s="47">
        <v>6.25E-2</v>
      </c>
      <c r="J365" s="56">
        <f ca="1">IFERROR(__xludf.DUMMYFUNCTION("importxml(""https://bigcharts.marketwatch.com/quickchart/quickchart.asp?symb=HCXY&amp;insttype=Stock"",""/html/body/div[1]/div[2]/table/tbody/tr/td[1]/table/tbody/tr[3]/td[1]/div"")"),25.37)</f>
        <v>25.37</v>
      </c>
      <c r="K365" s="107">
        <f ca="1">IFERROR(__xludf.DUMMYFUNCTION("GOOGLEFINANCE(H365,""change"")"),0.39)</f>
        <v>0.39</v>
      </c>
      <c r="L365" s="108">
        <f t="shared" ca="1" si="199"/>
        <v>6.1588490342924712E-2</v>
      </c>
      <c r="M365" s="27">
        <f t="shared" ca="1" si="201"/>
        <v>-1.4800000000000041E-2</v>
      </c>
      <c r="N365" s="28" t="s">
        <v>31</v>
      </c>
      <c r="O365" s="27" t="s">
        <v>32</v>
      </c>
      <c r="P365" s="27" t="s">
        <v>32</v>
      </c>
      <c r="Q365" s="29">
        <f t="shared" si="200"/>
        <v>0.390625</v>
      </c>
      <c r="R365" s="64">
        <v>45229</v>
      </c>
      <c r="S365" s="64">
        <v>48882</v>
      </c>
      <c r="T365" s="62" t="s">
        <v>45</v>
      </c>
      <c r="U365" s="16">
        <f t="shared" ca="1" si="151"/>
        <v>-1.6958904109589041</v>
      </c>
      <c r="V365" s="11" t="str">
        <v>All</v>
      </c>
      <c r="X365">
        <f t="shared" ca="1" si="174"/>
        <v>4.7260275169034312E-2</v>
      </c>
      <c r="Z365" s="17">
        <f t="shared" ca="1" si="175"/>
        <v>46213</v>
      </c>
      <c r="AG365" s="33">
        <f t="shared" ca="1" si="176"/>
        <v>5.4637940944603232E-2</v>
      </c>
      <c r="AH365">
        <f t="shared" ca="1" si="177"/>
        <v>5.9057915244956315E-2</v>
      </c>
      <c r="AI365">
        <f t="shared" ca="1" si="178"/>
        <v>5.9893946078279532E-2</v>
      </c>
      <c r="AJ365">
        <f t="shared" ca="1" si="179"/>
        <v>6.0515313538600755E-2</v>
      </c>
      <c r="AK365">
        <f t="shared" ca="1" si="180"/>
        <v>6.1210852001457476E-2</v>
      </c>
    </row>
    <row r="366" spans="1:37" ht="17.25" customHeight="1">
      <c r="A366" s="19"/>
      <c r="B366" s="45" t="s">
        <v>327</v>
      </c>
      <c r="C366" s="28" t="s">
        <v>35</v>
      </c>
      <c r="D366" s="28" t="s">
        <v>27</v>
      </c>
      <c r="E366" s="28" t="s">
        <v>106</v>
      </c>
      <c r="F366" s="28" t="s">
        <v>29</v>
      </c>
      <c r="G366" s="28" t="s">
        <v>38</v>
      </c>
      <c r="H366" s="66" t="str">
        <f>HYPERLINK("https://innovativeincomeinvestor.com/security/hersha-hospitality-trust-6-875-series-c-cumulative-redeemable-preferred-shares/","HT-C")</f>
        <v>HT-C</v>
      </c>
      <c r="I366" s="85">
        <v>6.8750000000000006E-2</v>
      </c>
      <c r="J366" s="79" t="s">
        <v>68</v>
      </c>
      <c r="K366" s="79" t="s">
        <v>68</v>
      </c>
      <c r="L366" s="79" t="s">
        <v>68</v>
      </c>
      <c r="M366" s="79" t="s">
        <v>68</v>
      </c>
      <c r="N366" s="28" t="s">
        <v>31</v>
      </c>
      <c r="O366" s="27" t="s">
        <v>32</v>
      </c>
      <c r="P366" s="27" t="s">
        <v>32</v>
      </c>
      <c r="Q366" s="29">
        <f t="shared" si="200"/>
        <v>0.42968750000000006</v>
      </c>
      <c r="R366" s="53">
        <v>43165</v>
      </c>
      <c r="S366" s="54" t="s">
        <v>41</v>
      </c>
      <c r="T366" s="50" t="s">
        <v>60</v>
      </c>
      <c r="U366" s="16">
        <f t="shared" ca="1" si="151"/>
        <v>-7.3506849315068497</v>
      </c>
      <c r="V366" s="11" t="str">
        <v>All</v>
      </c>
      <c r="X366" t="e">
        <f t="shared" ca="1" si="174"/>
        <v>#VALUE!</v>
      </c>
      <c r="Z366" s="17">
        <f t="shared" ca="1" si="175"/>
        <v>46213</v>
      </c>
      <c r="AG366" s="33" t="e">
        <f t="shared" ca="1" si="176"/>
        <v>#VALUE!</v>
      </c>
      <c r="AH366" t="e">
        <f t="shared" ca="1" si="177"/>
        <v>#VALUE!</v>
      </c>
      <c r="AI366" t="e">
        <f t="shared" ca="1" si="178"/>
        <v>#VALUE!</v>
      </c>
      <c r="AJ366" t="e">
        <f t="shared" ca="1" si="179"/>
        <v>#VALUE!</v>
      </c>
      <c r="AK366" t="e">
        <f t="shared" ca="1" si="180"/>
        <v>#VALUE!</v>
      </c>
    </row>
    <row r="367" spans="1:37" ht="17.25" customHeight="1">
      <c r="A367" s="19"/>
      <c r="B367" s="45" t="s">
        <v>327</v>
      </c>
      <c r="C367" s="28" t="s">
        <v>35</v>
      </c>
      <c r="D367" s="28" t="s">
        <v>27</v>
      </c>
      <c r="E367" s="28" t="s">
        <v>106</v>
      </c>
      <c r="F367" s="28" t="s">
        <v>29</v>
      </c>
      <c r="G367" s="28" t="s">
        <v>38</v>
      </c>
      <c r="H367" s="51" t="str">
        <f>HYPERLINK("https://innovativeincomeinvestor.com/security/hersha-hospitality-trust-6-50-series-d-cumulative-redeemable-preferred-shares/","HT-D")</f>
        <v>HT-D</v>
      </c>
      <c r="I367" s="85">
        <v>6.5000000000000002E-2</v>
      </c>
      <c r="J367" s="79" t="s">
        <v>68</v>
      </c>
      <c r="K367" s="79" t="s">
        <v>68</v>
      </c>
      <c r="L367" s="79" t="s">
        <v>68</v>
      </c>
      <c r="M367" s="79" t="s">
        <v>68</v>
      </c>
      <c r="N367" s="28" t="s">
        <v>31</v>
      </c>
      <c r="O367" s="27" t="s">
        <v>32</v>
      </c>
      <c r="P367" s="27" t="s">
        <v>32</v>
      </c>
      <c r="Q367" s="29">
        <f t="shared" si="200"/>
        <v>0.40625</v>
      </c>
      <c r="R367" s="53">
        <v>44347</v>
      </c>
      <c r="S367" s="54" t="s">
        <v>41</v>
      </c>
      <c r="T367" s="50" t="s">
        <v>60</v>
      </c>
      <c r="U367" s="16">
        <f t="shared" ca="1" si="151"/>
        <v>-4.1123287671232873</v>
      </c>
      <c r="V367" s="11" t="str">
        <v>All</v>
      </c>
      <c r="X367" t="e">
        <f t="shared" ca="1" si="174"/>
        <v>#VALUE!</v>
      </c>
      <c r="Z367" s="17">
        <f t="shared" ca="1" si="175"/>
        <v>46213</v>
      </c>
      <c r="AG367" s="33" t="e">
        <f t="shared" ca="1" si="176"/>
        <v>#VALUE!</v>
      </c>
      <c r="AH367" t="e">
        <f t="shared" ca="1" si="177"/>
        <v>#VALUE!</v>
      </c>
      <c r="AI367" t="e">
        <f t="shared" ca="1" si="178"/>
        <v>#VALUE!</v>
      </c>
      <c r="AJ367" t="e">
        <f t="shared" ca="1" si="179"/>
        <v>#VALUE!</v>
      </c>
      <c r="AK367" t="e">
        <f t="shared" ca="1" si="180"/>
        <v>#VALUE!</v>
      </c>
    </row>
    <row r="368" spans="1:37" ht="17.25" customHeight="1">
      <c r="A368" s="19"/>
      <c r="B368" s="45" t="s">
        <v>327</v>
      </c>
      <c r="C368" s="28" t="s">
        <v>35</v>
      </c>
      <c r="D368" s="28" t="s">
        <v>27</v>
      </c>
      <c r="E368" s="28" t="s">
        <v>106</v>
      </c>
      <c r="F368" s="36" t="s">
        <v>29</v>
      </c>
      <c r="G368" s="28" t="s">
        <v>38</v>
      </c>
      <c r="H368" s="204" t="s">
        <v>328</v>
      </c>
      <c r="I368" s="85">
        <v>6.5000000000000002E-2</v>
      </c>
      <c r="J368" s="86" t="s">
        <v>68</v>
      </c>
      <c r="K368" s="86" t="s">
        <v>68</v>
      </c>
      <c r="L368" s="86" t="s">
        <v>68</v>
      </c>
      <c r="M368" s="86" t="s">
        <v>68</v>
      </c>
      <c r="N368" s="28" t="s">
        <v>31</v>
      </c>
      <c r="O368" s="27" t="s">
        <v>32</v>
      </c>
      <c r="P368" s="27" t="s">
        <v>32</v>
      </c>
      <c r="Q368" s="29">
        <f t="shared" si="200"/>
        <v>0.40625</v>
      </c>
      <c r="R368" s="53">
        <v>44507</v>
      </c>
      <c r="S368" s="54" t="s">
        <v>41</v>
      </c>
      <c r="T368" s="50" t="s">
        <v>60</v>
      </c>
      <c r="U368" s="16">
        <f t="shared" ca="1" si="151"/>
        <v>-3.6739726027397261</v>
      </c>
      <c r="V368" s="11" t="str">
        <v>All</v>
      </c>
      <c r="X368" t="e">
        <f t="shared" ca="1" si="174"/>
        <v>#VALUE!</v>
      </c>
      <c r="Z368" s="17">
        <f t="shared" ca="1" si="175"/>
        <v>46213</v>
      </c>
      <c r="AG368" s="33" t="e">
        <f t="shared" ca="1" si="176"/>
        <v>#VALUE!</v>
      </c>
      <c r="AH368" t="e">
        <f t="shared" ca="1" si="177"/>
        <v>#VALUE!</v>
      </c>
      <c r="AI368" t="e">
        <f t="shared" ca="1" si="178"/>
        <v>#VALUE!</v>
      </c>
      <c r="AJ368" t="e">
        <f t="shared" ca="1" si="179"/>
        <v>#VALUE!</v>
      </c>
      <c r="AK368" t="e">
        <f t="shared" ca="1" si="180"/>
        <v>#VALUE!</v>
      </c>
    </row>
    <row r="369" spans="1:37" ht="17.25" customHeight="1">
      <c r="A369" s="19"/>
      <c r="B369" s="45" t="s">
        <v>329</v>
      </c>
      <c r="C369" s="28" t="s">
        <v>35</v>
      </c>
      <c r="D369" s="28" t="s">
        <v>27</v>
      </c>
      <c r="E369" s="28" t="s">
        <v>37</v>
      </c>
      <c r="F369" s="28" t="s">
        <v>29</v>
      </c>
      <c r="G369" s="28" t="s">
        <v>38</v>
      </c>
      <c r="H369" s="66" t="str">
        <f>HYPERLINK("https://innovativeincomeinvestor.com/security/highland-income-fund-5-375-series-a-cumulative-preferred-shares/","HFRO-A")</f>
        <v>HFRO-A</v>
      </c>
      <c r="I369" s="47">
        <v>5.3749999999999999E-2</v>
      </c>
      <c r="J369" s="25">
        <f ca="1">IFERROR(__xludf.DUMMYFUNCTION("GoogleFinance(H369)"),16.03)</f>
        <v>16.03</v>
      </c>
      <c r="K369" s="65">
        <f ca="1">IFERROR(__xludf.DUMMYFUNCTION("googlefinance(H369,""change"")"),0.03)</f>
        <v>0.03</v>
      </c>
      <c r="L369" s="27">
        <f ca="1">(Q369*4)/J369</f>
        <v>8.382719900187148E-2</v>
      </c>
      <c r="M369" s="27">
        <f ca="1">(25-J369)/25</f>
        <v>0.35879999999999995</v>
      </c>
      <c r="N369" s="28" t="s">
        <v>39</v>
      </c>
      <c r="O369" s="27" t="s">
        <v>32</v>
      </c>
      <c r="P369" s="28" t="s">
        <v>129</v>
      </c>
      <c r="Q369" s="29">
        <f t="shared" si="200"/>
        <v>0.3359375</v>
      </c>
      <c r="R369" s="53">
        <v>45565</v>
      </c>
      <c r="S369" s="54" t="s">
        <v>41</v>
      </c>
      <c r="T369" s="50" t="s">
        <v>42</v>
      </c>
      <c r="U369" s="16">
        <f t="shared" ca="1" si="151"/>
        <v>-0.77534246575342469</v>
      </c>
      <c r="V369" s="11" t="str">
        <v>All</v>
      </c>
      <c r="X369">
        <f t="shared" ca="1" si="174"/>
        <v>0.54170715089044341</v>
      </c>
      <c r="Z369" s="17">
        <f t="shared" ca="1" si="175"/>
        <v>46213</v>
      </c>
      <c r="AG369" s="33">
        <f t="shared" ca="1" si="176"/>
        <v>0.29840221931778288</v>
      </c>
      <c r="AH369">
        <f t="shared" ca="1" si="177"/>
        <v>0.15920707388444663</v>
      </c>
      <c r="AI369">
        <f t="shared" ca="1" si="178"/>
        <v>0.13345257207361516</v>
      </c>
      <c r="AJ369">
        <f t="shared" ca="1" si="179"/>
        <v>0.11448026603118984</v>
      </c>
      <c r="AK369">
        <f t="shared" ca="1" si="180"/>
        <v>9.3606859281441829E-2</v>
      </c>
    </row>
    <row r="370" spans="1:37" ht="17.25" customHeight="1">
      <c r="A370" s="19"/>
      <c r="B370" s="45" t="s">
        <v>330</v>
      </c>
      <c r="C370" s="28" t="s">
        <v>35</v>
      </c>
      <c r="D370" s="28" t="s">
        <v>35</v>
      </c>
      <c r="E370" s="28" t="s">
        <v>119</v>
      </c>
      <c r="F370" s="28" t="s">
        <v>29</v>
      </c>
      <c r="G370" s="28" t="s">
        <v>38</v>
      </c>
      <c r="H370" s="51" t="str">
        <f>HYPERLINK("https://innovativeincomeinvestor.com/security/hoegh-lng-partners-8-75-series-a-cumulative-redeemable-preferred-units/","HMLP-A")</f>
        <v>HMLP-A</v>
      </c>
      <c r="I370" s="47">
        <v>8.7499999999999994E-2</v>
      </c>
      <c r="J370" s="149" t="s">
        <v>100</v>
      </c>
      <c r="K370" s="98" t="s">
        <v>100</v>
      </c>
      <c r="L370" s="95" t="s">
        <v>100</v>
      </c>
      <c r="M370" s="95" t="s">
        <v>100</v>
      </c>
      <c r="N370" s="28" t="s">
        <v>31</v>
      </c>
      <c r="O370" s="27" t="s">
        <v>32</v>
      </c>
      <c r="P370" s="27" t="s">
        <v>32</v>
      </c>
      <c r="Q370" s="29">
        <f t="shared" si="200"/>
        <v>0.546875</v>
      </c>
      <c r="R370" s="64">
        <v>44839</v>
      </c>
      <c r="S370" s="54" t="s">
        <v>41</v>
      </c>
      <c r="T370" s="62" t="s">
        <v>33</v>
      </c>
      <c r="U370" s="16">
        <f t="shared" ca="1" si="151"/>
        <v>-2.7643835616438355</v>
      </c>
      <c r="V370" s="11" t="str">
        <v>All</v>
      </c>
      <c r="X370" t="e">
        <f t="shared" ca="1" si="174"/>
        <v>#VALUE!</v>
      </c>
      <c r="Z370" s="17">
        <f t="shared" ca="1" si="175"/>
        <v>46213</v>
      </c>
      <c r="AG370" s="33" t="e">
        <f t="shared" ca="1" si="176"/>
        <v>#VALUE!</v>
      </c>
      <c r="AH370" t="e">
        <f t="shared" ca="1" si="177"/>
        <v>#VALUE!</v>
      </c>
      <c r="AI370" t="e">
        <f t="shared" ca="1" si="178"/>
        <v>#VALUE!</v>
      </c>
      <c r="AJ370" t="e">
        <f t="shared" ca="1" si="179"/>
        <v>#VALUE!</v>
      </c>
      <c r="AK370" t="e">
        <f t="shared" ca="1" si="180"/>
        <v>#VALUE!</v>
      </c>
    </row>
    <row r="371" spans="1:37" ht="17.25" customHeight="1">
      <c r="A371" s="19"/>
      <c r="B371" s="45" t="s">
        <v>331</v>
      </c>
      <c r="C371" s="28" t="s">
        <v>27</v>
      </c>
      <c r="D371" s="28" t="s">
        <v>27</v>
      </c>
      <c r="E371" s="28" t="s">
        <v>171</v>
      </c>
      <c r="F371" s="28" t="s">
        <v>29</v>
      </c>
      <c r="G371" s="28" t="s">
        <v>30</v>
      </c>
      <c r="H371" s="55" t="str">
        <f>HYPERLINK("https://innovativeincomeinvestor.com/security/horizon-technology-finance-corporation-4-875-notes-due-2026/","HTFB")</f>
        <v>HTFB</v>
      </c>
      <c r="I371" s="47">
        <v>4.8750000000000002E-2</v>
      </c>
      <c r="J371" s="26">
        <f ca="1">IFERROR(__xludf.DUMMYFUNCTION("GOOGLEFINANCE(H371)"),24.75)</f>
        <v>24.75</v>
      </c>
      <c r="K371" s="26">
        <f ca="1">IFERROR(__xludf.DUMMYFUNCTION("GOOGLEFINANCE(H371,""change"")"),0)</f>
        <v>0</v>
      </c>
      <c r="L371" s="27">
        <f t="shared" ref="L371:L377" ca="1" si="202">(Q371*4)/J371</f>
        <v>4.8484848484848485E-2</v>
      </c>
      <c r="M371" s="27">
        <f t="shared" ref="M371:M372" ca="1" si="203">L371*U371+(25-J371)/25/U371</f>
        <v>-0.11503347540759766</v>
      </c>
      <c r="N371" s="28" t="s">
        <v>31</v>
      </c>
      <c r="O371" s="27" t="s">
        <v>32</v>
      </c>
      <c r="P371" s="27" t="s">
        <v>32</v>
      </c>
      <c r="Q371" s="65">
        <v>0.3</v>
      </c>
      <c r="R371" s="64">
        <v>45015</v>
      </c>
      <c r="S371" s="64">
        <v>46111</v>
      </c>
      <c r="T371" s="62" t="s">
        <v>52</v>
      </c>
      <c r="U371" s="16">
        <f t="shared" ca="1" si="151"/>
        <v>-2.2821917808219179</v>
      </c>
      <c r="V371" s="11" t="str">
        <v>All</v>
      </c>
      <c r="X371">
        <f t="shared" ca="1" si="174"/>
        <v>5.9122224563922056E-2</v>
      </c>
      <c r="Z371" s="17">
        <f t="shared" ca="1" si="175"/>
        <v>46213</v>
      </c>
      <c r="AG371" s="33">
        <f t="shared" ca="1" si="176"/>
        <v>5.4058842444458702E-2</v>
      </c>
      <c r="AH371">
        <f t="shared" ca="1" si="177"/>
        <v>5.1029567909114393E-2</v>
      </c>
      <c r="AI371">
        <f t="shared" ca="1" si="178"/>
        <v>5.0455414241393971E-2</v>
      </c>
      <c r="AJ371">
        <f t="shared" ca="1" si="179"/>
        <v>5.0027357279250735E-2</v>
      </c>
      <c r="AK371">
        <f t="shared" ca="1" si="180"/>
        <v>4.9540817364285325E-2</v>
      </c>
    </row>
    <row r="372" spans="1:37" ht="17.25" customHeight="1">
      <c r="A372" s="19"/>
      <c r="B372" s="45" t="s">
        <v>331</v>
      </c>
      <c r="C372" s="28" t="s">
        <v>27</v>
      </c>
      <c r="D372" s="28" t="s">
        <v>27</v>
      </c>
      <c r="E372" s="28" t="s">
        <v>171</v>
      </c>
      <c r="F372" s="28" t="s">
        <v>29</v>
      </c>
      <c r="G372" s="28" t="s">
        <v>30</v>
      </c>
      <c r="H372" s="23" t="str">
        <f>HYPERLINK("https://innovativeincomeinvestor.com/security/horizon-technology-finance-corporation-6-25-notes-due-2027/","HTFC")</f>
        <v>HTFC</v>
      </c>
      <c r="I372" s="47">
        <v>6.25E-2</v>
      </c>
      <c r="J372" s="26">
        <f ca="1">IFERROR(__xludf.DUMMYFUNCTION("GOOGLEFINANCE(H372)"),24.65)</f>
        <v>24.65</v>
      </c>
      <c r="K372" s="26">
        <f ca="1">IFERROR(__xludf.DUMMYFUNCTION("GOOGLEFINANCE(H372,""change"")"),0.12)</f>
        <v>0.12</v>
      </c>
      <c r="L372" s="27">
        <f t="shared" ca="1" si="202"/>
        <v>6.3286004056795131E-2</v>
      </c>
      <c r="M372" s="27">
        <f t="shared" ca="1" si="203"/>
        <v>-8.0723225971468554E-2</v>
      </c>
      <c r="N372" s="28" t="s">
        <v>31</v>
      </c>
      <c r="O372" s="27" t="s">
        <v>32</v>
      </c>
      <c r="P372" s="27" t="s">
        <v>32</v>
      </c>
      <c r="Q372" s="65">
        <v>0.39</v>
      </c>
      <c r="R372" s="64">
        <v>45458</v>
      </c>
      <c r="S372" s="64">
        <v>46553</v>
      </c>
      <c r="T372" s="62" t="s">
        <v>52</v>
      </c>
      <c r="U372" s="16">
        <f t="shared" ca="1" si="151"/>
        <v>-1.0684931506849316</v>
      </c>
      <c r="V372" s="11" t="str">
        <v>All</v>
      </c>
      <c r="X372">
        <f t="shared" ca="1" si="174"/>
        <v>7.7181793463095991E-2</v>
      </c>
      <c r="Z372" s="17">
        <f t="shared" ca="1" si="175"/>
        <v>46213</v>
      </c>
      <c r="AG372" s="33">
        <f t="shared" ca="1" si="176"/>
        <v>7.0062919161985385E-2</v>
      </c>
      <c r="AH372">
        <f t="shared" ca="1" si="177"/>
        <v>6.5809878838681099E-2</v>
      </c>
      <c r="AI372">
        <f t="shared" ca="1" si="178"/>
        <v>6.5006456815677183E-2</v>
      </c>
      <c r="AJ372">
        <f t="shared" ca="1" si="179"/>
        <v>6.4410194375035715E-2</v>
      </c>
      <c r="AK372">
        <f t="shared" ca="1" si="180"/>
        <v>6.3743265711322647E-2</v>
      </c>
    </row>
    <row r="373" spans="1:37" ht="17.25" customHeight="1">
      <c r="A373" s="19"/>
      <c r="B373" s="45" t="s">
        <v>332</v>
      </c>
      <c r="C373" s="28" t="s">
        <v>35</v>
      </c>
      <c r="D373" s="28" t="s">
        <v>35</v>
      </c>
      <c r="E373" s="28" t="s">
        <v>67</v>
      </c>
      <c r="F373" s="28" t="s">
        <v>29</v>
      </c>
      <c r="G373" s="28" t="s">
        <v>38</v>
      </c>
      <c r="H373" s="83" t="str">
        <f>HYPERLINK("https://innovativeincomeinvestor.com/security/hovnanian-enterprises-7-625-depositary-shares-series-a-preferred-stock/","HOVNP")</f>
        <v>HOVNP</v>
      </c>
      <c r="I373" s="47">
        <v>7.6249999999999998E-2</v>
      </c>
      <c r="J373" s="65">
        <f ca="1">IFERROR(__xludf.DUMMYFUNCTION("GoogleFinance(H373)"),16.16)</f>
        <v>16.16</v>
      </c>
      <c r="K373" s="67">
        <f ca="1">IFERROR(__xludf.DUMMYFUNCTION("googlefinance(H373,""change"")"),-0.09)</f>
        <v>-0.09</v>
      </c>
      <c r="L373" s="27">
        <f t="shared" ca="1" si="202"/>
        <v>0.11881188118811881</v>
      </c>
      <c r="M373" s="27">
        <f ca="1">(25-J373)/25</f>
        <v>0.35359999999999997</v>
      </c>
      <c r="N373" s="28" t="s">
        <v>31</v>
      </c>
      <c r="O373" s="28" t="s">
        <v>333</v>
      </c>
      <c r="P373" s="28" t="s">
        <v>334</v>
      </c>
      <c r="Q373" s="29">
        <v>0.48</v>
      </c>
      <c r="R373" s="64">
        <v>40371</v>
      </c>
      <c r="S373" s="54" t="s">
        <v>41</v>
      </c>
      <c r="T373" s="62" t="s">
        <v>60</v>
      </c>
      <c r="U373" s="16">
        <f t="shared" ca="1" si="151"/>
        <v>-15.005479452054795</v>
      </c>
      <c r="V373" s="11" t="str">
        <v>All</v>
      </c>
      <c r="X373">
        <f t="shared" ca="1" si="174"/>
        <v>0.56223498091431967</v>
      </c>
      <c r="Z373" s="17">
        <f t="shared" ca="1" si="175"/>
        <v>46213</v>
      </c>
      <c r="AG373" s="33">
        <f t="shared" ca="1" si="176"/>
        <v>0.32310108429588547</v>
      </c>
      <c r="AH373">
        <f t="shared" ca="1" si="177"/>
        <v>0.18657356400953609</v>
      </c>
      <c r="AI373">
        <f t="shared" ca="1" si="178"/>
        <v>0.16154605148572854</v>
      </c>
      <c r="AJ373">
        <f t="shared" ca="1" si="179"/>
        <v>0.14336504576073508</v>
      </c>
      <c r="AK373">
        <f t="shared" ca="1" si="180"/>
        <v>0.12439634399096973</v>
      </c>
    </row>
    <row r="374" spans="1:37" ht="17.25" customHeight="1">
      <c r="A374" s="19"/>
      <c r="B374" s="45" t="s">
        <v>335</v>
      </c>
      <c r="C374" s="28" t="s">
        <v>35</v>
      </c>
      <c r="D374" s="28" t="s">
        <v>27</v>
      </c>
      <c r="E374" s="28" t="s">
        <v>63</v>
      </c>
      <c r="F374" s="28" t="s">
        <v>29</v>
      </c>
      <c r="G374" s="28" t="s">
        <v>38</v>
      </c>
      <c r="H374" s="83" t="str">
        <f>HYPERLINK("https://innovativeincomeinvestor.com/security/hudson-pacific-properties-inc-4-75-series-c-cumulative-redeemable-preferred-stock/","HPP-C")</f>
        <v>HPP-C</v>
      </c>
      <c r="I374" s="47">
        <v>4.6249999999999999E-2</v>
      </c>
      <c r="J374" s="150">
        <f ca="1">IFERROR(__xludf.DUMMYFUNCTION("GOOGLEFINANCE(H374)"),14.91)</f>
        <v>14.91</v>
      </c>
      <c r="K374" s="115">
        <f ca="1">IFERROR(__xludf.DUMMYFUNCTION("GOOGLEFINANCE(H374,""change"")"),-0.09)</f>
        <v>-0.09</v>
      </c>
      <c r="L374" s="97">
        <f t="shared" ca="1" si="202"/>
        <v>8.0482897384305835E-2</v>
      </c>
      <c r="M374" s="97">
        <f t="shared" ref="M374:M375" ca="1" si="204">L374*U374+(25-J374)/25/U374</f>
        <v>0.40713401556251155</v>
      </c>
      <c r="N374" s="28" t="s">
        <v>31</v>
      </c>
      <c r="O374" s="28" t="s">
        <v>163</v>
      </c>
      <c r="P374" s="28" t="s">
        <v>32</v>
      </c>
      <c r="Q374" s="29">
        <v>0.3</v>
      </c>
      <c r="R374" s="64">
        <v>46342</v>
      </c>
      <c r="S374" s="54" t="s">
        <v>41</v>
      </c>
      <c r="T374" s="62" t="s">
        <v>42</v>
      </c>
      <c r="U374" s="16">
        <f t="shared" ca="1" si="151"/>
        <v>1.3534246575342466</v>
      </c>
      <c r="V374" s="11" t="str">
        <v>All</v>
      </c>
      <c r="X374">
        <f t="shared" ca="1" si="174"/>
        <v>0.61642076925079625</v>
      </c>
      <c r="Z374" s="17">
        <f t="shared" ca="1" si="175"/>
        <v>46213</v>
      </c>
      <c r="AG374" s="33">
        <f t="shared" ca="1" si="176"/>
        <v>0.32979568410117138</v>
      </c>
      <c r="AH374">
        <f t="shared" ca="1" si="177"/>
        <v>0.16690611944544428</v>
      </c>
      <c r="AI374">
        <f t="shared" ca="1" si="178"/>
        <v>0.13680784810253921</v>
      </c>
      <c r="AJ374">
        <f t="shared" ca="1" si="179"/>
        <v>0.11459541035527135</v>
      </c>
      <c r="AK374">
        <f t="shared" ca="1" si="180"/>
        <v>8.9930187683947352E-2</v>
      </c>
    </row>
    <row r="375" spans="1:37" ht="17.25" customHeight="1">
      <c r="A375" s="19"/>
      <c r="B375" s="45" t="s">
        <v>336</v>
      </c>
      <c r="C375" s="28" t="s">
        <v>27</v>
      </c>
      <c r="D375" s="28" t="s">
        <v>35</v>
      </c>
      <c r="E375" s="28" t="s">
        <v>110</v>
      </c>
      <c r="F375" s="28" t="s">
        <v>29</v>
      </c>
      <c r="G375" s="28" t="s">
        <v>38</v>
      </c>
      <c r="H375" s="83" t="str">
        <f>HYPERLINK("https://innovativeincomeinvestor.com/security/13035/","HBANP")</f>
        <v>HBANP</v>
      </c>
      <c r="I375" s="47">
        <v>4.4999999999999998E-2</v>
      </c>
      <c r="J375" s="65">
        <f ca="1">IFERROR(__xludf.DUMMYFUNCTION("GoogleFinance(H375)"),17.56)</f>
        <v>17.559999999999999</v>
      </c>
      <c r="K375" s="67">
        <f ca="1">IFERROR(__xludf.DUMMYFUNCTION("googlefinance(H375,""change"")"),-0.07)</f>
        <v>-7.0000000000000007E-2</v>
      </c>
      <c r="L375" s="27">
        <f t="shared" ca="1" si="202"/>
        <v>6.4009111617312084E-2</v>
      </c>
      <c r="M375" s="27">
        <f t="shared" ca="1" si="204"/>
        <v>0.4382608460490322</v>
      </c>
      <c r="N375" s="28" t="s">
        <v>39</v>
      </c>
      <c r="O375" s="28" t="s">
        <v>69</v>
      </c>
      <c r="P375" s="28" t="s">
        <v>64</v>
      </c>
      <c r="Q375" s="29">
        <v>0.28100000000000003</v>
      </c>
      <c r="R375" s="64">
        <v>46127</v>
      </c>
      <c r="S375" s="54" t="s">
        <v>41</v>
      </c>
      <c r="T375" s="62" t="s">
        <v>60</v>
      </c>
      <c r="U375" s="16">
        <f t="shared" ca="1" si="151"/>
        <v>0.76438356164383559</v>
      </c>
      <c r="V375" s="11" t="str">
        <v>All</v>
      </c>
      <c r="X375">
        <f t="shared" ca="1" si="174"/>
        <v>0.42579117294459085</v>
      </c>
      <c r="Z375" s="17">
        <f t="shared" ca="1" si="175"/>
        <v>46213</v>
      </c>
      <c r="AG375" s="33">
        <f t="shared" ca="1" si="176"/>
        <v>0.23592500006961603</v>
      </c>
      <c r="AH375">
        <f t="shared" ca="1" si="177"/>
        <v>0.12619584864645417</v>
      </c>
      <c r="AI375">
        <f t="shared" ca="1" si="178"/>
        <v>0.10573869575706737</v>
      </c>
      <c r="AJ375">
        <f t="shared" ca="1" si="179"/>
        <v>9.0573684256467488E-2</v>
      </c>
      <c r="AK375">
        <f t="shared" ca="1" si="180"/>
        <v>7.3534716311544138E-2</v>
      </c>
    </row>
    <row r="376" spans="1:37" ht="17.25" customHeight="1">
      <c r="A376" s="19"/>
      <c r="B376" s="45" t="s">
        <v>336</v>
      </c>
      <c r="C376" s="36" t="s">
        <v>27</v>
      </c>
      <c r="D376" s="36" t="s">
        <v>35</v>
      </c>
      <c r="E376" s="36" t="s">
        <v>110</v>
      </c>
      <c r="F376" s="36" t="s">
        <v>29</v>
      </c>
      <c r="G376" s="28" t="s">
        <v>38</v>
      </c>
      <c r="H376" s="94" t="str">
        <f>HYPERLINK("https://innovativeincomeinvestor.com/security/tcf-financial-corporation-5-875-series-c-non-cumulative-perpetual-preferred-stock/","HBANM")</f>
        <v>HBANM</v>
      </c>
      <c r="I376" s="85">
        <v>5.7000000000000002E-2</v>
      </c>
      <c r="J376" s="128">
        <f ca="1">IFERROR(__xludf.DUMMYFUNCTION("GOOGLEFINANCE(H376)"),22.5)</f>
        <v>22.5</v>
      </c>
      <c r="K376" s="48">
        <f ca="1">IFERROR(__xludf.DUMMYFUNCTION("googlefinance(H376,""change"")"),-0.1)</f>
        <v>-0.1</v>
      </c>
      <c r="L376" s="27">
        <f t="shared" ca="1" si="202"/>
        <v>6.3333333333333339E-2</v>
      </c>
      <c r="M376" s="27">
        <f ca="1">(25-J376)/25</f>
        <v>0.1</v>
      </c>
      <c r="N376" s="28" t="s">
        <v>31</v>
      </c>
      <c r="O376" s="28" t="s">
        <v>69</v>
      </c>
      <c r="P376" s="28" t="s">
        <v>64</v>
      </c>
      <c r="Q376" s="29">
        <f>(I376*25)/4</f>
        <v>0.35625000000000001</v>
      </c>
      <c r="R376" s="64">
        <v>44896</v>
      </c>
      <c r="S376" s="54" t="s">
        <v>41</v>
      </c>
      <c r="T376" s="50" t="s">
        <v>81</v>
      </c>
      <c r="U376" s="16">
        <f t="shared" ca="1" si="151"/>
        <v>-2.6082191780821917</v>
      </c>
      <c r="V376" s="11" t="str">
        <v>All</v>
      </c>
      <c r="X376">
        <f t="shared" ca="1" si="174"/>
        <v>0.16769612762704569</v>
      </c>
      <c r="Z376" s="17">
        <f t="shared" ca="1" si="175"/>
        <v>46213</v>
      </c>
      <c r="AG376" s="33">
        <f t="shared" ca="1" si="176"/>
        <v>0.11359850455855361</v>
      </c>
      <c r="AH376">
        <f t="shared" ca="1" si="177"/>
        <v>8.1565892404535989E-2</v>
      </c>
      <c r="AI376">
        <f t="shared" ca="1" si="178"/>
        <v>7.553586139744807E-2</v>
      </c>
      <c r="AJ376">
        <f t="shared" ca="1" si="179"/>
        <v>7.1060271878416986E-2</v>
      </c>
      <c r="AK376">
        <f t="shared" ca="1" si="180"/>
        <v>6.6047304823070599E-2</v>
      </c>
    </row>
    <row r="377" spans="1:37" ht="17.25" customHeight="1">
      <c r="A377" s="19"/>
      <c r="B377" s="45" t="s">
        <v>336</v>
      </c>
      <c r="C377" s="36" t="s">
        <v>27</v>
      </c>
      <c r="D377" s="36" t="s">
        <v>35</v>
      </c>
      <c r="E377" s="36" t="s">
        <v>110</v>
      </c>
      <c r="F377" s="36" t="s">
        <v>61</v>
      </c>
      <c r="G377" s="28" t="s">
        <v>38</v>
      </c>
      <c r="H377" s="23" t="str">
        <f>HYPERLINK("https://innovativeincomeinvestor.com/security/huntington-bancshares-incorporated-6-875-series-j-non-cumulative-perpetual-preferred-stock/","HBANL")</f>
        <v>HBANL</v>
      </c>
      <c r="I377" s="85">
        <v>6.8750000000000006E-2</v>
      </c>
      <c r="J377" s="150">
        <f ca="1">IFERROR(__xludf.DUMMYFUNCTION("importxml(""https://bigcharts.marketwatch.com/quickchart/quickchart.asp?symb=HBANL&amp;insttype=Stock"",""/html/body/div[1]/div[2]/table/tbody/tr/td[1]/table/tbody/tr[3]/td[1]/div"")"),25.03)</f>
        <v>25.03</v>
      </c>
      <c r="K377" s="67">
        <f ca="1">IFERROR(__xludf.DUMMYFUNCTION("googlefinance(H377,""change"")"),-0.04)</f>
        <v>-0.04</v>
      </c>
      <c r="L377" s="27">
        <f t="shared" ca="1" si="202"/>
        <v>6.8717538953256094E-2</v>
      </c>
      <c r="M377" s="27">
        <f t="array" aca="1" ref="M377" ca="1">L377*U377+(25-J377)/25/U377</f>
        <v>0.18971623894267337</v>
      </c>
      <c r="N377" s="28" t="s">
        <v>39</v>
      </c>
      <c r="O377" s="28" t="s">
        <v>69</v>
      </c>
      <c r="P377" s="28" t="s">
        <v>64</v>
      </c>
      <c r="Q377" s="29">
        <v>0.43</v>
      </c>
      <c r="R377" s="64">
        <v>46858</v>
      </c>
      <c r="S377" s="54" t="s">
        <v>41</v>
      </c>
      <c r="T377" s="62" t="s">
        <v>60</v>
      </c>
      <c r="U377" s="16">
        <f t="shared" ca="1" si="151"/>
        <v>2.7671232876712328</v>
      </c>
      <c r="V377" s="11" t="str">
        <v>All</v>
      </c>
      <c r="X377">
        <f t="shared" ca="1" si="174"/>
        <v>6.749895219084999E-2</v>
      </c>
      <c r="Z377" s="17">
        <f t="shared" ca="1" si="175"/>
        <v>46213</v>
      </c>
      <c r="AG377" s="33">
        <f t="shared" ca="1" si="176"/>
        <v>6.8103125223630614E-2</v>
      </c>
      <c r="AH377">
        <f t="shared" ca="1" si="177"/>
        <v>6.8464040505412257E-2</v>
      </c>
      <c r="AI377">
        <f t="shared" ca="1" si="178"/>
        <v>6.8532032349655103E-2</v>
      </c>
      <c r="AJ377">
        <f t="shared" ca="1" si="179"/>
        <v>6.8582691345792465E-2</v>
      </c>
      <c r="AK377">
        <f t="shared" ca="1" si="180"/>
        <v>6.8638494644936529E-2</v>
      </c>
    </row>
    <row r="378" spans="1:37" ht="17.25" customHeight="1">
      <c r="A378" s="19"/>
      <c r="B378" s="100" t="s">
        <v>337</v>
      </c>
      <c r="C378" s="71" t="s">
        <v>35</v>
      </c>
      <c r="D378" s="71" t="s">
        <v>35</v>
      </c>
      <c r="E378" s="71" t="s">
        <v>67</v>
      </c>
      <c r="F378" s="71" t="s">
        <v>29</v>
      </c>
      <c r="G378" s="71" t="s">
        <v>38</v>
      </c>
      <c r="H378" s="205" t="str">
        <f>HYPERLINK("https://innovativeincomeinvestor.com/security/hyperscale-data-inc-13-00-series-d-cumulative-redeemable-perpetual-preferred-stock/","GPUS-D")</f>
        <v>GPUS-D</v>
      </c>
      <c r="I378" s="73">
        <v>0.13</v>
      </c>
      <c r="J378" s="168">
        <f ca="1">IFERROR(__xludf.DUMMYFUNCTION("GoogleFinance(H378)"),15.35)</f>
        <v>15.35</v>
      </c>
      <c r="K378" s="74">
        <f ca="1">IFERROR(__xludf.DUMMYFUNCTION("googlefinance(H378,""change"")"),0.37)</f>
        <v>0.37</v>
      </c>
      <c r="L378" s="75">
        <f ca="1">(Q378*12)/J378</f>
        <v>0.21107491856677527</v>
      </c>
      <c r="M378" s="75">
        <f t="shared" ref="M378:M380" ca="1" si="205">(25-J378)/25</f>
        <v>0.38600000000000001</v>
      </c>
      <c r="N378" s="71" t="s">
        <v>31</v>
      </c>
      <c r="O378" s="192" t="s">
        <v>32</v>
      </c>
      <c r="P378" s="192" t="s">
        <v>32</v>
      </c>
      <c r="Q378" s="76">
        <v>0.27</v>
      </c>
      <c r="R378" s="192" t="s">
        <v>338</v>
      </c>
      <c r="S378" s="192" t="s">
        <v>86</v>
      </c>
      <c r="T378" s="193" t="s">
        <v>178</v>
      </c>
      <c r="U378" s="16"/>
      <c r="V378" s="11" t="str">
        <v>All</v>
      </c>
      <c r="X378">
        <f t="shared" ca="1" si="174"/>
        <v>0.69777359556397578</v>
      </c>
      <c r="Z378" s="17">
        <f t="shared" ca="1" si="175"/>
        <v>46213</v>
      </c>
      <c r="AG378" s="33">
        <f t="shared" ca="1" si="176"/>
        <v>0.42640434207357963</v>
      </c>
      <c r="AH378">
        <f t="shared" ca="1" si="177"/>
        <v>0.2741141127083816</v>
      </c>
      <c r="AI378">
        <f t="shared" ca="1" si="178"/>
        <v>0.24738765317093292</v>
      </c>
      <c r="AJ378">
        <f t="shared" ca="1" si="179"/>
        <v>0.22913452379406457</v>
      </c>
      <c r="AK378">
        <f t="shared" ca="1" si="180"/>
        <v>0.21383482818498928</v>
      </c>
    </row>
    <row r="379" spans="1:37" ht="17.25" customHeight="1">
      <c r="A379" s="19"/>
      <c r="B379" s="45" t="s">
        <v>339</v>
      </c>
      <c r="C379" s="28" t="s">
        <v>35</v>
      </c>
      <c r="D379" s="28" t="s">
        <v>27</v>
      </c>
      <c r="E379" s="28" t="s">
        <v>67</v>
      </c>
      <c r="F379" s="28" t="s">
        <v>29</v>
      </c>
      <c r="G379" s="28" t="s">
        <v>38</v>
      </c>
      <c r="H379" s="66" t="str">
        <f>HYPERLINK("https://innovativeincomeinvestor.com/security/imperial-petroleum-inc-8-75-series-a-preferred-shares/","IMPPP")</f>
        <v>IMPPP</v>
      </c>
      <c r="I379" s="47">
        <v>8.7499999999999994E-2</v>
      </c>
      <c r="J379" s="25">
        <f ca="1">IFERROR(__xludf.DUMMYFUNCTION("GoogleFinance(H379)"),25.12)</f>
        <v>25.12</v>
      </c>
      <c r="K379" s="67">
        <f ca="1">IFERROR(__xludf.DUMMYFUNCTION("googlefinance(H379,""change"")"),0.29)</f>
        <v>0.28999999999999998</v>
      </c>
      <c r="L379" s="27">
        <f t="shared" ref="L379:L381" ca="1" si="206">(Q379*4)/J379</f>
        <v>8.7579617834394913E-2</v>
      </c>
      <c r="M379" s="27">
        <f t="shared" ca="1" si="205"/>
        <v>-4.8000000000000395E-3</v>
      </c>
      <c r="N379" s="28" t="s">
        <v>31</v>
      </c>
      <c r="O379" s="206" t="s">
        <v>32</v>
      </c>
      <c r="P379" s="206" t="s">
        <v>32</v>
      </c>
      <c r="Q379" s="29">
        <v>0.55000000000000004</v>
      </c>
      <c r="R379" s="49">
        <v>44742</v>
      </c>
      <c r="S379" s="59" t="s">
        <v>41</v>
      </c>
      <c r="T379" s="183" t="s">
        <v>56</v>
      </c>
      <c r="U379" s="16">
        <f t="shared" ref="U379:U398" ca="1" si="207">(R379-TODAY())/365</f>
        <v>-3.0301369863013701</v>
      </c>
      <c r="V379" s="11" t="str">
        <v>All</v>
      </c>
      <c r="X379">
        <f t="shared" ca="1" si="174"/>
        <v>8.2450126576865734E-2</v>
      </c>
      <c r="Z379" s="17">
        <f t="shared" ca="1" si="175"/>
        <v>46213</v>
      </c>
      <c r="AG379" s="33">
        <f t="shared" ca="1" si="176"/>
        <v>8.4865254157339406E-2</v>
      </c>
      <c r="AH379">
        <f t="shared" ca="1" si="177"/>
        <v>8.6306682807478913E-2</v>
      </c>
      <c r="AI379">
        <f t="shared" ca="1" si="178"/>
        <v>8.6576957697979282E-2</v>
      </c>
      <c r="AJ379">
        <f t="shared" ca="1" si="179"/>
        <v>8.6776091325565727E-2</v>
      </c>
      <c r="AK379">
        <f t="shared" ca="1" si="180"/>
        <v>8.6990060289458687E-2</v>
      </c>
    </row>
    <row r="380" spans="1:37" ht="17.25" customHeight="1">
      <c r="A380" s="19"/>
      <c r="B380" s="45" t="s">
        <v>340</v>
      </c>
      <c r="C380" s="28" t="s">
        <v>35</v>
      </c>
      <c r="D380" s="28" t="s">
        <v>27</v>
      </c>
      <c r="E380" s="28" t="s">
        <v>67</v>
      </c>
      <c r="F380" s="28" t="s">
        <v>29</v>
      </c>
      <c r="G380" s="28" t="s">
        <v>38</v>
      </c>
      <c r="H380" s="51" t="str">
        <f>HYPERLINK("https://innovativeincomeinvestor.com/security/innovative-industrial-properties-9-00-series-a-cumulative-redeemable-preferred-stock/","IIPR-A")</f>
        <v>IIPR-A</v>
      </c>
      <c r="I380" s="47">
        <v>0.09</v>
      </c>
      <c r="J380" s="150">
        <f ca="1">IFERROR(__xludf.DUMMYFUNCTION("IMPORTXML(""https://bigcharts.marketwatch.com/quickchart/quickchart.asp?symb=IIPRPRa&amp;insttype=Stock"",""html/body/div[1]/div[2]/table/tbody/tr/td[1]/table/tbody/tr[3]/td[1]/div"")"),24)</f>
        <v>24</v>
      </c>
      <c r="K380" s="67">
        <f ca="1">IFERROR(__xludf.DUMMYFUNCTION("googlefinance(H380,""change"")"),0.2)</f>
        <v>0.2</v>
      </c>
      <c r="L380" s="27">
        <f t="shared" ca="1" si="206"/>
        <v>9.2708333333333337E-2</v>
      </c>
      <c r="M380" s="27">
        <f t="shared" ca="1" si="205"/>
        <v>0.04</v>
      </c>
      <c r="N380" s="28" t="s">
        <v>31</v>
      </c>
      <c r="O380" s="206" t="s">
        <v>32</v>
      </c>
      <c r="P380" s="206" t="s">
        <v>32</v>
      </c>
      <c r="Q380" s="29">
        <v>0.55625000000000002</v>
      </c>
      <c r="R380" s="49">
        <v>44853</v>
      </c>
      <c r="S380" s="59" t="s">
        <v>41</v>
      </c>
      <c r="T380" s="183" t="s">
        <v>60</v>
      </c>
      <c r="U380" s="16">
        <f t="shared" ca="1" si="207"/>
        <v>-2.7260273972602738</v>
      </c>
      <c r="V380" s="11" t="str">
        <v>All</v>
      </c>
      <c r="X380">
        <f t="shared" ca="1" si="174"/>
        <v>0.13338941399410115</v>
      </c>
      <c r="Z380" s="17">
        <f t="shared" ca="1" si="175"/>
        <v>46213</v>
      </c>
      <c r="AG380" s="33">
        <f t="shared" ca="1" si="176"/>
        <v>0.1126158662778657</v>
      </c>
      <c r="AH380">
        <f t="shared" ca="1" si="177"/>
        <v>0.1002738068384055</v>
      </c>
      <c r="AI380">
        <f t="shared" ca="1" si="178"/>
        <v>9.7966116413035445E-2</v>
      </c>
      <c r="AJ380">
        <f t="shared" ca="1" si="179"/>
        <v>9.6275432012014384E-2</v>
      </c>
      <c r="AK380">
        <f t="shared" ca="1" si="180"/>
        <v>9.4468903434185986E-2</v>
      </c>
    </row>
    <row r="381" spans="1:37" ht="17.25" customHeight="1">
      <c r="A381" s="19"/>
      <c r="B381" s="45" t="s">
        <v>341</v>
      </c>
      <c r="C381" s="28" t="s">
        <v>35</v>
      </c>
      <c r="D381" s="28" t="s">
        <v>27</v>
      </c>
      <c r="E381" s="28" t="s">
        <v>44</v>
      </c>
      <c r="F381" s="28" t="s">
        <v>29</v>
      </c>
      <c r="G381" s="28" t="s">
        <v>38</v>
      </c>
      <c r="H381" s="23" t="str">
        <f>HYPERLINK("https://innovativeincomeinvestor.com/security/inpoint-commercial-real-estate-income-inc-6-75-series-a-cumulative-redeemable-preferred-stock/","ICR-A")</f>
        <v>ICR-A</v>
      </c>
      <c r="I381" s="47">
        <v>6.7500000000000004E-2</v>
      </c>
      <c r="J381" s="65">
        <f ca="1">IFERROR(__xludf.DUMMYFUNCTION("GoogleFinance(H381)"),18)</f>
        <v>18</v>
      </c>
      <c r="K381" s="67">
        <f ca="1">IFERROR(__xludf.DUMMYFUNCTION("googlefinance(H381,""change"")"),-0.31)</f>
        <v>-0.31</v>
      </c>
      <c r="L381" s="27">
        <f t="shared" ca="1" si="206"/>
        <v>9.3333333333333324E-2</v>
      </c>
      <c r="M381" s="27">
        <f t="array" aca="1" ref="M381" ca="1">L381*U381+(25-J381)/25/U381</f>
        <v>0.34505753008601947</v>
      </c>
      <c r="N381" s="28" t="s">
        <v>31</v>
      </c>
      <c r="O381" s="206" t="s">
        <v>32</v>
      </c>
      <c r="P381" s="206" t="s">
        <v>32</v>
      </c>
      <c r="Q381" s="29">
        <v>0.42</v>
      </c>
      <c r="R381" s="49">
        <v>46287</v>
      </c>
      <c r="S381" s="59" t="s">
        <v>41</v>
      </c>
      <c r="T381" s="183" t="s">
        <v>56</v>
      </c>
      <c r="U381" s="16">
        <f t="shared" ca="1" si="207"/>
        <v>1.2027397260273973</v>
      </c>
      <c r="V381" s="11" t="str">
        <v>All</v>
      </c>
      <c r="X381">
        <f t="shared" ca="1" si="174"/>
        <v>0.42576652903861922</v>
      </c>
      <c r="Z381" s="17">
        <f t="shared" ca="1" si="175"/>
        <v>46213</v>
      </c>
      <c r="AG381" s="33">
        <f t="shared" ca="1" si="176"/>
        <v>0.24957223617275029</v>
      </c>
      <c r="AH381">
        <f t="shared" ca="1" si="177"/>
        <v>0.1477154361091696</v>
      </c>
      <c r="AI381">
        <f t="shared" ca="1" si="178"/>
        <v>0.12884185898469888</v>
      </c>
      <c r="AJ381">
        <f t="shared" ca="1" si="179"/>
        <v>0.11499129414056775</v>
      </c>
      <c r="AK381">
        <f t="shared" ca="1" si="180"/>
        <v>0.10001942311595526</v>
      </c>
    </row>
    <row r="382" spans="1:37" ht="17.25" customHeight="1">
      <c r="A382" s="19"/>
      <c r="B382" s="45" t="s">
        <v>342</v>
      </c>
      <c r="C382" s="28" t="s">
        <v>35</v>
      </c>
      <c r="D382" s="28" t="s">
        <v>27</v>
      </c>
      <c r="E382" s="28" t="s">
        <v>44</v>
      </c>
      <c r="F382" s="28" t="s">
        <v>46</v>
      </c>
      <c r="G382" s="28" t="s">
        <v>38</v>
      </c>
      <c r="H382" s="51" t="str">
        <f>HYPERLINK("https://innovativeincomeinvestor.com/security/invesco-mortgage-capital-7-75-fixedfloat-series-b-cumul-red-preferred-stock/","IVR-B")</f>
        <v>IVR-B</v>
      </c>
      <c r="I382" s="97">
        <v>7.7499999999999999E-2</v>
      </c>
      <c r="J382" s="86" t="s">
        <v>68</v>
      </c>
      <c r="K382" s="169" t="s">
        <v>68</v>
      </c>
      <c r="L382" s="88" t="s">
        <v>68</v>
      </c>
      <c r="M382" s="88" t="s">
        <v>68</v>
      </c>
      <c r="N382" s="28" t="s">
        <v>31</v>
      </c>
      <c r="O382" s="207" t="s">
        <v>32</v>
      </c>
      <c r="P382" s="207" t="s">
        <v>32</v>
      </c>
      <c r="Q382" s="29">
        <f t="shared" ref="Q382:Q383" si="208">(I382*25)/4</f>
        <v>0.484375</v>
      </c>
      <c r="R382" s="64">
        <v>45653</v>
      </c>
      <c r="S382" s="54" t="s">
        <v>41</v>
      </c>
      <c r="T382" s="62" t="s">
        <v>343</v>
      </c>
      <c r="U382" s="16">
        <f t="shared" ca="1" si="207"/>
        <v>-0.53424657534246578</v>
      </c>
      <c r="V382" s="11" t="str">
        <v>All</v>
      </c>
      <c r="X382" t="e">
        <f t="shared" ca="1" si="174"/>
        <v>#VALUE!</v>
      </c>
      <c r="Z382" s="17">
        <f t="shared" ca="1" si="175"/>
        <v>46213</v>
      </c>
      <c r="AG382" s="33" t="e">
        <f t="shared" ca="1" si="176"/>
        <v>#VALUE!</v>
      </c>
      <c r="AH382" t="e">
        <f t="shared" ca="1" si="177"/>
        <v>#VALUE!</v>
      </c>
      <c r="AI382" t="e">
        <f t="shared" ca="1" si="178"/>
        <v>#VALUE!</v>
      </c>
      <c r="AJ382" t="e">
        <f t="shared" ca="1" si="179"/>
        <v>#VALUE!</v>
      </c>
      <c r="AK382" t="e">
        <f t="shared" ca="1" si="180"/>
        <v>#VALUE!</v>
      </c>
    </row>
    <row r="383" spans="1:37" ht="17.25" customHeight="1">
      <c r="A383" s="19"/>
      <c r="B383" s="45" t="s">
        <v>342</v>
      </c>
      <c r="C383" s="28" t="s">
        <v>35</v>
      </c>
      <c r="D383" s="28" t="s">
        <v>27</v>
      </c>
      <c r="E383" s="28" t="s">
        <v>44</v>
      </c>
      <c r="F383" s="28" t="s">
        <v>46</v>
      </c>
      <c r="G383" s="28" t="s">
        <v>38</v>
      </c>
      <c r="H383" s="51" t="str">
        <f>HYPERLINK("https://innovativeincomeinvestor.com/security/invesco-mortgage-capital-inc-7-50-fixed-to-floating-series-c-cumulative-redeemable-prferred-stock/","IVR-C")</f>
        <v>IVR-C</v>
      </c>
      <c r="I383" s="47">
        <v>7.4999999999999997E-2</v>
      </c>
      <c r="J383" s="25">
        <f ca="1">IFERROR(__xludf.DUMMYFUNCTION("GoogleFinance(H383)"),23.16)</f>
        <v>23.16</v>
      </c>
      <c r="K383" s="48">
        <f ca="1">IFERROR(__xludf.DUMMYFUNCTION("googlefinance(H383,""change"")"),-0.52)</f>
        <v>-0.52</v>
      </c>
      <c r="L383" s="27">
        <f t="shared" ref="L383:L384" ca="1" si="209">(Q383*4)/J383</f>
        <v>8.0958549222797924E-2</v>
      </c>
      <c r="M383" s="27">
        <f t="shared" ref="M383:M384" ca="1" si="210">L383*U383+(25-J383)/25/U383</f>
        <v>0.21264606144533588</v>
      </c>
      <c r="N383" s="28" t="s">
        <v>31</v>
      </c>
      <c r="O383" s="27" t="s">
        <v>32</v>
      </c>
      <c r="P383" s="27" t="s">
        <v>32</v>
      </c>
      <c r="Q383" s="29">
        <f t="shared" si="208"/>
        <v>0.46875</v>
      </c>
      <c r="R383" s="64">
        <v>46657</v>
      </c>
      <c r="S383" s="54" t="s">
        <v>41</v>
      </c>
      <c r="T383" s="50" t="s">
        <v>343</v>
      </c>
      <c r="U383" s="16">
        <f t="shared" ca="1" si="207"/>
        <v>2.2164383561643834</v>
      </c>
      <c r="V383" s="11" t="str">
        <v>All</v>
      </c>
      <c r="X383">
        <f t="shared" ca="1" si="174"/>
        <v>0.15590886442491325</v>
      </c>
      <c r="Z383" s="17">
        <f t="shared" ca="1" si="175"/>
        <v>46213</v>
      </c>
      <c r="AG383" s="33">
        <f t="shared" ca="1" si="176"/>
        <v>0.11679764111614287</v>
      </c>
      <c r="AH383">
        <f t="shared" ca="1" si="177"/>
        <v>9.3608582913515759E-2</v>
      </c>
      <c r="AI383">
        <f t="shared" ca="1" si="178"/>
        <v>8.9259390641610911E-2</v>
      </c>
      <c r="AJ383">
        <f t="shared" ca="1" si="179"/>
        <v>8.6052906178026592E-2</v>
      </c>
      <c r="AK383">
        <f t="shared" ca="1" si="180"/>
        <v>8.254947642972503E-2</v>
      </c>
    </row>
    <row r="384" spans="1:37" ht="17.25" customHeight="1">
      <c r="A384" s="19"/>
      <c r="B384" s="45" t="s">
        <v>344</v>
      </c>
      <c r="C384" s="28" t="s">
        <v>27</v>
      </c>
      <c r="D384" s="28" t="s">
        <v>35</v>
      </c>
      <c r="E384" s="28" t="s">
        <v>28</v>
      </c>
      <c r="F384" s="28" t="s">
        <v>61</v>
      </c>
      <c r="G384" s="28" t="s">
        <v>38</v>
      </c>
      <c r="H384" s="83" t="str">
        <f>HYPERLINK("https://innovativeincomeinvestor.com/security/jackson-financial-inc-8-00-fixed-rate-reset-noncumulative-perpetual-preferred-stock-series-a/","JXN-A")</f>
        <v>JXN-A</v>
      </c>
      <c r="I384" s="47">
        <v>0.08</v>
      </c>
      <c r="J384" s="56">
        <f ca="1">IFERROR(__xludf.DUMMYFUNCTION("IMPORTXML(""https://bigcharts.marketwatch.com/quickchart/quickchart.asp?symb=JXNPRA&amp;insttype=Stock"",""html/body/div[1]/div[2]/table/tbody/tr/td[1]/table/tbody/tr[3]/td[1]/div"")"),25.6)</f>
        <v>25.6</v>
      </c>
      <c r="K384" s="48">
        <f ca="1">IFERROR(__xludf.DUMMYFUNCTION("googlefinance(H384,""change"")"),0)</f>
        <v>0</v>
      </c>
      <c r="L384" s="27">
        <f t="shared" ca="1" si="209"/>
        <v>7.8125E-2</v>
      </c>
      <c r="M384" s="27">
        <f t="shared" ca="1" si="210"/>
        <v>0.20394397205148698</v>
      </c>
      <c r="N384" s="28" t="s">
        <v>31</v>
      </c>
      <c r="O384" s="28" t="s">
        <v>69</v>
      </c>
      <c r="P384" s="28" t="s">
        <v>83</v>
      </c>
      <c r="Q384" s="65">
        <v>0.5</v>
      </c>
      <c r="R384" s="64">
        <v>46842</v>
      </c>
      <c r="S384" s="65" t="s">
        <v>41</v>
      </c>
      <c r="T384" s="62" t="s">
        <v>56</v>
      </c>
      <c r="U384" s="16">
        <f t="shared" ca="1" si="207"/>
        <v>2.7232876712328768</v>
      </c>
      <c r="V384" s="11" t="str">
        <v>All</v>
      </c>
      <c r="X384">
        <f t="shared" ca="1" si="174"/>
        <v>5.5166830499734074E-2</v>
      </c>
      <c r="Z384" s="17">
        <f t="shared" ca="1" si="175"/>
        <v>46213</v>
      </c>
      <c r="AG384" s="33">
        <f t="shared" ca="1" si="176"/>
        <v>6.7076898006541166E-2</v>
      </c>
      <c r="AH384">
        <f t="shared" ca="1" si="177"/>
        <v>7.4207532327291215E-2</v>
      </c>
      <c r="AI384">
        <f t="shared" ca="1" si="178"/>
        <v>7.5550304083440184E-2</v>
      </c>
      <c r="AJ384">
        <f t="shared" ca="1" si="179"/>
        <v>7.6541764291902931E-2</v>
      </c>
      <c r="AK384">
        <f t="shared" ca="1" si="180"/>
        <v>7.7625387887176531E-2</v>
      </c>
    </row>
    <row r="385" spans="1:37" ht="17.25" customHeight="1">
      <c r="A385" s="19"/>
      <c r="B385" s="45" t="s">
        <v>345</v>
      </c>
      <c r="C385" s="28" t="s">
        <v>27</v>
      </c>
      <c r="D385" s="28" t="s">
        <v>35</v>
      </c>
      <c r="E385" s="28" t="s">
        <v>110</v>
      </c>
      <c r="F385" s="28" t="s">
        <v>29</v>
      </c>
      <c r="G385" s="28" t="s">
        <v>38</v>
      </c>
      <c r="H385" s="66" t="str">
        <f>HYPERLINK("https://innovativeincomeinvestor.com/security/jpmorgan-chase-5-75-non-cumulative-preferred-stock-series-dd/","JPM-D")</f>
        <v>JPM-D</v>
      </c>
      <c r="I385" s="24">
        <v>5.7500000000000002E-2</v>
      </c>
      <c r="J385" s="56">
        <f ca="1">IFERROR(__xludf.DUMMYFUNCTION("IMPORTXML(""https://bigcharts.marketwatch.com/quickchart/quickchart.asp?symb=JPMPRD&amp;insttype=Stock"",""html/body/div[1]/div[2]/table/tbody/tr/td[1]/table/tbody/tr[3]/td[1]/div"")"),24.6292)</f>
        <v>24.629200000000001</v>
      </c>
      <c r="K385" s="25">
        <f ca="1">IFERROR(__xludf.DUMMYFUNCTION("googlefinance(H385,""change"")"),-0.08)</f>
        <v>-0.08</v>
      </c>
      <c r="L385" s="108">
        <f ca="1">(I385*25)/J385</f>
        <v>5.8365679762233447E-2</v>
      </c>
      <c r="M385" s="108">
        <f ca="1">(25-J385)/25</f>
        <v>1.4831999999999965E-2</v>
      </c>
      <c r="N385" s="28" t="s">
        <v>39</v>
      </c>
      <c r="O385" s="28" t="s">
        <v>55</v>
      </c>
      <c r="P385" s="28" t="s">
        <v>76</v>
      </c>
      <c r="Q385" s="65">
        <v>0.36</v>
      </c>
      <c r="R385" s="64">
        <v>45261</v>
      </c>
      <c r="S385" s="65" t="s">
        <v>41</v>
      </c>
      <c r="T385" s="62" t="s">
        <v>81</v>
      </c>
      <c r="U385" s="16">
        <f t="shared" ca="1" si="207"/>
        <v>-1.6082191780821917</v>
      </c>
      <c r="V385" s="11" t="str">
        <v>All</v>
      </c>
      <c r="X385">
        <f t="shared" ca="1" si="174"/>
        <v>7.3014970011618302E-2</v>
      </c>
      <c r="Z385" s="17">
        <f t="shared" ca="1" si="175"/>
        <v>46213</v>
      </c>
      <c r="AG385" s="33">
        <f t="shared" ca="1" si="176"/>
        <v>6.5472581393593854E-2</v>
      </c>
      <c r="AH385">
        <f t="shared" ca="1" si="177"/>
        <v>6.0965198805584798E-2</v>
      </c>
      <c r="AI385">
        <f t="shared" ca="1" si="178"/>
        <v>6.0112738555169104E-2</v>
      </c>
      <c r="AJ385">
        <f t="shared" ca="1" si="179"/>
        <v>5.9478950679634324E-2</v>
      </c>
      <c r="AK385">
        <f t="shared" ca="1" si="180"/>
        <v>5.8765721203628253E-2</v>
      </c>
    </row>
    <row r="386" spans="1:37" ht="17.25" customHeight="1">
      <c r="A386" s="19"/>
      <c r="B386" s="45" t="s">
        <v>345</v>
      </c>
      <c r="C386" s="28" t="s">
        <v>27</v>
      </c>
      <c r="D386" s="28" t="s">
        <v>35</v>
      </c>
      <c r="E386" s="28" t="s">
        <v>110</v>
      </c>
      <c r="F386" s="28" t="s">
        <v>29</v>
      </c>
      <c r="G386" s="28" t="s">
        <v>38</v>
      </c>
      <c r="H386" s="110" t="str">
        <f>HYPERLINK("https://innovativeincomeinvestor.com/security/jpmorgan-chase-6-non-cumulative-preferred-stock-series-ee/","JPM-C")</f>
        <v>JPM-C</v>
      </c>
      <c r="I386" s="47">
        <v>0.06</v>
      </c>
      <c r="J386" s="150">
        <f ca="1">IFERROR(__xludf.DUMMYFUNCTION("IMPORTXML(""https://bigcharts.marketwatch.com/quickchart/quickchart.asp?symb=JPMPRC&amp;insttype=Stock"",""html/body/div[1]/div[2]/table/tbody/tr/td[1]/table/tbody/tr[3]/td[1]/div"")"),25.34)</f>
        <v>25.34</v>
      </c>
      <c r="K386" s="67">
        <f ca="1">IFERROR(__xludf.DUMMYFUNCTION("googlefinance(H386,""change"")"),-0.08)</f>
        <v>-0.08</v>
      </c>
      <c r="L386" s="27">
        <f t="shared" ref="L386:L405" ca="1" si="211">(Q386*4)/J386</f>
        <v>5.9194948697711129E-2</v>
      </c>
      <c r="M386" s="27">
        <f t="array" aca="1" ref="M386" ca="1">L386*U386+(25-J386)/25/U386</f>
        <v>-7.0432194536103082E-2</v>
      </c>
      <c r="N386" s="28" t="s">
        <v>39</v>
      </c>
      <c r="O386" s="28" t="s">
        <v>55</v>
      </c>
      <c r="P386" s="28" t="s">
        <v>76</v>
      </c>
      <c r="Q386" s="65">
        <v>0.375</v>
      </c>
      <c r="R386" s="64">
        <v>45352</v>
      </c>
      <c r="S386" s="65" t="s">
        <v>41</v>
      </c>
      <c r="T386" s="62" t="s">
        <v>81</v>
      </c>
      <c r="U386" s="16">
        <f t="shared" ca="1" si="207"/>
        <v>-1.3589041095890411</v>
      </c>
      <c r="V386" s="11" t="str">
        <v>All</v>
      </c>
      <c r="X386">
        <f t="shared" ca="1" si="174"/>
        <v>4.6006707002448063E-2</v>
      </c>
      <c r="Z386" s="17">
        <f t="shared" ca="1" si="175"/>
        <v>46213</v>
      </c>
      <c r="AG386" s="33">
        <f t="shared" ca="1" si="176"/>
        <v>5.2789980465699084E-2</v>
      </c>
      <c r="AH386">
        <f t="shared" ca="1" si="177"/>
        <v>5.6854161909576581E-2</v>
      </c>
      <c r="AI386">
        <f t="shared" ca="1" si="178"/>
        <v>5.7623318781914949E-2</v>
      </c>
      <c r="AJ386">
        <f t="shared" ca="1" si="179"/>
        <v>5.8195453455978284E-2</v>
      </c>
      <c r="AK386">
        <f t="shared" ca="1" si="180"/>
        <v>5.8837816718940464E-2</v>
      </c>
    </row>
    <row r="387" spans="1:37" ht="17.25" customHeight="1">
      <c r="A387" s="19"/>
      <c r="B387" s="45" t="s">
        <v>345</v>
      </c>
      <c r="C387" s="28" t="s">
        <v>27</v>
      </c>
      <c r="D387" s="28" t="s">
        <v>35</v>
      </c>
      <c r="E387" s="28" t="s">
        <v>110</v>
      </c>
      <c r="F387" s="28" t="s">
        <v>29</v>
      </c>
      <c r="G387" s="28" t="s">
        <v>38</v>
      </c>
      <c r="H387" s="46" t="str">
        <f>HYPERLINK("https://innovativeincomeinvestor.com/security/jpmorgan-chase-4-75-non-cumlative-preferred-stock/","JPM-J")</f>
        <v>JPM-J</v>
      </c>
      <c r="I387" s="47">
        <v>4.7500000000000001E-2</v>
      </c>
      <c r="J387" s="65">
        <f ca="1">IFERROR(__xludf.DUMMYFUNCTION("GoogleFinance(H387)"),20.45)</f>
        <v>20.45</v>
      </c>
      <c r="K387" s="48">
        <f ca="1">IFERROR(__xludf.DUMMYFUNCTION("googlefinance(H387,""change"")"),-0.14)</f>
        <v>-0.14000000000000001</v>
      </c>
      <c r="L387" s="27">
        <f t="shared" ca="1" si="211"/>
        <v>5.8068459657701715E-2</v>
      </c>
      <c r="M387" s="27">
        <f ca="1">(25-J387)/25</f>
        <v>0.18200000000000002</v>
      </c>
      <c r="N387" s="28" t="s">
        <v>39</v>
      </c>
      <c r="O387" s="28" t="s">
        <v>55</v>
      </c>
      <c r="P387" s="28" t="s">
        <v>76</v>
      </c>
      <c r="Q387" s="29">
        <f>(I387*25)/4</f>
        <v>0.296875</v>
      </c>
      <c r="R387" s="64">
        <v>45627</v>
      </c>
      <c r="S387" s="54" t="s">
        <v>41</v>
      </c>
      <c r="T387" s="62" t="s">
        <v>81</v>
      </c>
      <c r="U387" s="16">
        <f t="shared" ca="1" si="207"/>
        <v>-0.60547945205479448</v>
      </c>
      <c r="V387" s="11" t="str">
        <v>All</v>
      </c>
      <c r="X387">
        <f t="shared" ref="X387:X450" ca="1" si="212">YIELD($W$1,Z387,I387,J387*4,100,4,0)</f>
        <v>0.26000590873945928</v>
      </c>
      <c r="Z387" s="17">
        <f t="shared" ref="Z387:Z450" ca="1" si="213">TODAY()+($Z$1*$Y$1)</f>
        <v>46213</v>
      </c>
      <c r="AG387" s="33">
        <f t="shared" ref="AG387:AG450" ca="1" si="214">YIELD($W$1,$AA$2,I387,J387*4,100,4,0)</f>
        <v>0.15507972358227187</v>
      </c>
      <c r="AH387">
        <f t="shared" ref="AH387:AH450" ca="1" si="215">YIELD($W$1,$AB$2,I387,J387*4,100,4,0)</f>
        <v>9.3505635850284027E-2</v>
      </c>
      <c r="AI387">
        <f t="shared" ref="AI387:AI450" ca="1" si="216">YIELD($W$1,$AC$2,I387,J387*4,100,4,0)</f>
        <v>8.1944070032664351E-2</v>
      </c>
      <c r="AJ387">
        <f t="shared" ref="AJ387:AJ450" ca="1" si="217">YIELD($W$1,$AD$2,I387,J387*4,100,4,0)</f>
        <v>7.3352522267896292E-2</v>
      </c>
      <c r="AK387">
        <f t="shared" ref="AK387:AK450" ca="1" si="218">YIELD($W$1,$AE$2,I387,J387*4,100,4,0)</f>
        <v>6.3658619444783737E-2</v>
      </c>
    </row>
    <row r="388" spans="1:37" ht="17.25" customHeight="1">
      <c r="A388" s="19"/>
      <c r="B388" s="45" t="s">
        <v>345</v>
      </c>
      <c r="C388" s="28" t="s">
        <v>27</v>
      </c>
      <c r="D388" s="28" t="s">
        <v>35</v>
      </c>
      <c r="E388" s="28" t="s">
        <v>110</v>
      </c>
      <c r="F388" s="28" t="s">
        <v>29</v>
      </c>
      <c r="G388" s="28" t="s">
        <v>38</v>
      </c>
      <c r="H388" s="46" t="str">
        <f>HYPERLINK("https://innovativeincomeinvestor.com/security/jpmorgan-chase-co-4-55-non-cumulative-preferred-stock-series-jj/","JPM-K")</f>
        <v>JPM-K</v>
      </c>
      <c r="I388" s="47">
        <v>4.5499999999999999E-2</v>
      </c>
      <c r="J388" s="114">
        <f ca="1">IFERROR(__xludf.DUMMYFUNCTION("GoogleFinance(H388)"),19.39)</f>
        <v>19.39</v>
      </c>
      <c r="K388" s="57">
        <f ca="1">IFERROR(__xludf.DUMMYFUNCTION("googlefinance(H388,""change"")"),-0.1)</f>
        <v>-0.1</v>
      </c>
      <c r="L388" s="58">
        <f t="shared" ca="1" si="211"/>
        <v>6.1887570912841666E-2</v>
      </c>
      <c r="M388" s="58">
        <f t="shared" ref="M388:M394" ca="1" si="219">L388*U388+(25-J388)/25/U388</f>
        <v>0.30652032512255784</v>
      </c>
      <c r="N388" s="59" t="s">
        <v>39</v>
      </c>
      <c r="O388" s="59" t="s">
        <v>55</v>
      </c>
      <c r="P388" s="59" t="s">
        <v>76</v>
      </c>
      <c r="Q388" s="60">
        <v>0.3</v>
      </c>
      <c r="R388" s="49">
        <v>46174</v>
      </c>
      <c r="S388" s="114" t="s">
        <v>41</v>
      </c>
      <c r="T388" s="183" t="s">
        <v>81</v>
      </c>
      <c r="U388" s="16">
        <f t="shared" ca="1" si="207"/>
        <v>0.89315068493150684</v>
      </c>
      <c r="V388" s="11" t="str">
        <v>All</v>
      </c>
      <c r="X388">
        <f t="shared" ca="1" si="212"/>
        <v>0.31588359717973269</v>
      </c>
      <c r="Z388" s="17">
        <f t="shared" ca="1" si="213"/>
        <v>46213</v>
      </c>
      <c r="AG388" s="33">
        <f t="shared" ca="1" si="214"/>
        <v>0.18184080285682169</v>
      </c>
      <c r="AH388">
        <f t="shared" ca="1" si="215"/>
        <v>0.10359237555411585</v>
      </c>
      <c r="AI388">
        <f t="shared" ca="1" si="216"/>
        <v>8.8932366805665297E-2</v>
      </c>
      <c r="AJ388">
        <f t="shared" ca="1" si="217"/>
        <v>7.804322414929854E-2</v>
      </c>
      <c r="AK388">
        <f t="shared" ca="1" si="218"/>
        <v>6.5756530973442542E-2</v>
      </c>
    </row>
    <row r="389" spans="1:37" ht="17.25" customHeight="1">
      <c r="A389" s="19"/>
      <c r="B389" s="45" t="s">
        <v>345</v>
      </c>
      <c r="C389" s="28" t="s">
        <v>27</v>
      </c>
      <c r="D389" s="28" t="s">
        <v>35</v>
      </c>
      <c r="E389" s="28" t="s">
        <v>110</v>
      </c>
      <c r="F389" s="28" t="s">
        <v>29</v>
      </c>
      <c r="G389" s="28" t="s">
        <v>38</v>
      </c>
      <c r="H389" s="46" t="str">
        <f>HYPERLINK("https://innovativeincomeinvestor.com/security/jpmorgan-chase-co-4-625-non-cumulative-preferred-stock-series-ll/","JPM-L")</f>
        <v>JPM-L</v>
      </c>
      <c r="I389" s="47">
        <v>4.6249999999999999E-2</v>
      </c>
      <c r="J389" s="126">
        <f ca="1">IFERROR(__xludf.DUMMYFUNCTION("GoogleFinance(H389)"),19.78)</f>
        <v>19.78</v>
      </c>
      <c r="K389" s="57">
        <f ca="1">IFERROR(__xludf.DUMMYFUNCTION("googlefinance(H389,""change"")"),-0.18)</f>
        <v>-0.18</v>
      </c>
      <c r="L389" s="58">
        <f t="shared" ca="1" si="211"/>
        <v>5.8455510616784626E-2</v>
      </c>
      <c r="M389" s="58">
        <f t="shared" ca="1" si="219"/>
        <v>0.28598872044969659</v>
      </c>
      <c r="N389" s="59" t="s">
        <v>39</v>
      </c>
      <c r="O389" s="59" t="s">
        <v>55</v>
      </c>
      <c r="P389" s="59" t="s">
        <v>76</v>
      </c>
      <c r="Q389" s="29">
        <f>(I389*25)/4</f>
        <v>0.2890625</v>
      </c>
      <c r="R389" s="82">
        <v>46174</v>
      </c>
      <c r="S389" s="54" t="s">
        <v>41</v>
      </c>
      <c r="T389" s="183" t="s">
        <v>81</v>
      </c>
      <c r="U389" s="16">
        <f t="shared" ca="1" si="207"/>
        <v>0.89315068493150684</v>
      </c>
      <c r="V389" s="11" t="str">
        <v>All</v>
      </c>
      <c r="X389">
        <f t="shared" ca="1" si="212"/>
        <v>0.29490147155623297</v>
      </c>
      <c r="Z389" s="17">
        <f t="shared" ca="1" si="213"/>
        <v>46213</v>
      </c>
      <c r="AG389" s="33">
        <f t="shared" ca="1" si="214"/>
        <v>0.17181835342975441</v>
      </c>
      <c r="AH389">
        <f t="shared" ca="1" si="215"/>
        <v>9.9826344502869507E-2</v>
      </c>
      <c r="AI389">
        <f t="shared" ca="1" si="216"/>
        <v>8.6327356128381535E-2</v>
      </c>
      <c r="AJ389">
        <f t="shared" ca="1" si="217"/>
        <v>7.6298937641090678E-2</v>
      </c>
      <c r="AK389">
        <f t="shared" ca="1" si="218"/>
        <v>6.4983725898865072E-2</v>
      </c>
    </row>
    <row r="390" spans="1:37" ht="17.25" customHeight="1">
      <c r="A390" s="19"/>
      <c r="B390" s="45" t="s">
        <v>345</v>
      </c>
      <c r="C390" s="28" t="s">
        <v>27</v>
      </c>
      <c r="D390" s="28" t="s">
        <v>35</v>
      </c>
      <c r="E390" s="28" t="s">
        <v>110</v>
      </c>
      <c r="F390" s="28" t="s">
        <v>29</v>
      </c>
      <c r="G390" s="28" t="s">
        <v>38</v>
      </c>
      <c r="H390" s="55" t="str">
        <f>HYPERLINK("https://innovativeincomeinvestor.com/security/jpmorgan-chase-co-4-20-non-cumulative-preferred-stock-series-mm/","JPM-M")</f>
        <v>JPM-M</v>
      </c>
      <c r="I390" s="47">
        <v>4.2000000000000003E-2</v>
      </c>
      <c r="J390" s="126">
        <f ca="1">IFERROR(__xludf.DUMMYFUNCTION("GoogleFinance(H390)"),18.31)</f>
        <v>18.309999999999999</v>
      </c>
      <c r="K390" s="57">
        <f ca="1">IFERROR(__xludf.DUMMYFUNCTION("googlefinance(H390,""change"")"),-0.07)</f>
        <v>-7.0000000000000007E-2</v>
      </c>
      <c r="L390" s="58">
        <f t="shared" ca="1" si="211"/>
        <v>5.6799563080284006E-2</v>
      </c>
      <c r="M390" s="58">
        <f t="shared" ca="1" si="219"/>
        <v>0.29871702732935407</v>
      </c>
      <c r="N390" s="59" t="s">
        <v>39</v>
      </c>
      <c r="O390" s="59" t="s">
        <v>55</v>
      </c>
      <c r="P390" s="59" t="s">
        <v>76</v>
      </c>
      <c r="Q390" s="29">
        <v>0.26</v>
      </c>
      <c r="R390" s="82">
        <v>46266</v>
      </c>
      <c r="S390" s="54" t="s">
        <v>41</v>
      </c>
      <c r="T390" s="183" t="s">
        <v>81</v>
      </c>
      <c r="U390" s="16">
        <f t="shared" ca="1" si="207"/>
        <v>1.1452054794520548</v>
      </c>
      <c r="V390" s="11" t="str">
        <v>All</v>
      </c>
      <c r="X390">
        <f t="shared" ca="1" si="212"/>
        <v>0.37514979742454707</v>
      </c>
      <c r="Z390" s="17">
        <f t="shared" ca="1" si="213"/>
        <v>46213</v>
      </c>
      <c r="AG390" s="33">
        <f t="shared" ca="1" si="214"/>
        <v>0.20914882011380742</v>
      </c>
      <c r="AH390">
        <f t="shared" ca="1" si="215"/>
        <v>0.11278164026790588</v>
      </c>
      <c r="AI390">
        <f t="shared" ca="1" si="216"/>
        <v>9.4763789807420187E-2</v>
      </c>
      <c r="AJ390">
        <f t="shared" ca="1" si="217"/>
        <v>8.1380379175947801E-2</v>
      </c>
      <c r="AK390">
        <f t="shared" ca="1" si="218"/>
        <v>6.6250352046765909E-2</v>
      </c>
    </row>
    <row r="391" spans="1:37" ht="17.25" customHeight="1">
      <c r="A391" s="19"/>
      <c r="B391" s="45" t="s">
        <v>346</v>
      </c>
      <c r="C391" s="36" t="s">
        <v>27</v>
      </c>
      <c r="D391" s="36" t="s">
        <v>27</v>
      </c>
      <c r="E391" s="28" t="s">
        <v>28</v>
      </c>
      <c r="F391" s="28" t="s">
        <v>61</v>
      </c>
      <c r="G391" s="28" t="s">
        <v>30</v>
      </c>
      <c r="H391" s="83" t="str">
        <f>HYPERLINK("https://innovativeincomeinvestor.com/security/kemper-corporation-5-875-fixed-rate-reset-junior-subordinated-debentures-due-2062/","KMPB")</f>
        <v>KMPB</v>
      </c>
      <c r="I391" s="47">
        <v>5.8749999999999997E-2</v>
      </c>
      <c r="J391" s="114">
        <f ca="1">IFERROR(__xludf.DUMMYFUNCTION("GoogleFinance(H391)"),24.06)</f>
        <v>24.06</v>
      </c>
      <c r="K391" s="57">
        <f ca="1">IFERROR(__xludf.DUMMYFUNCTION("googlefinance(H391,""change"")"),-0.03)</f>
        <v>-0.03</v>
      </c>
      <c r="L391" s="58">
        <f t="shared" ca="1" si="211"/>
        <v>6.1512884455527848E-2</v>
      </c>
      <c r="M391" s="58">
        <f t="shared" ca="1" si="219"/>
        <v>0.12569619468130797</v>
      </c>
      <c r="N391" s="28" t="s">
        <v>31</v>
      </c>
      <c r="O391" s="28" t="s">
        <v>69</v>
      </c>
      <c r="P391" s="28" t="s">
        <v>83</v>
      </c>
      <c r="Q391" s="29">
        <v>0.37</v>
      </c>
      <c r="R391" s="64">
        <v>46461</v>
      </c>
      <c r="S391" s="61">
        <v>59245</v>
      </c>
      <c r="T391" s="62" t="s">
        <v>52</v>
      </c>
      <c r="U391" s="16">
        <f t="shared" ca="1" si="207"/>
        <v>1.6794520547945206</v>
      </c>
      <c r="V391" s="11" t="str">
        <v>All</v>
      </c>
      <c r="X391">
        <f t="shared" ca="1" si="212"/>
        <v>9.869765772976373E-2</v>
      </c>
      <c r="Z391" s="17">
        <f t="shared" ca="1" si="213"/>
        <v>46213</v>
      </c>
      <c r="AG391" s="33">
        <f t="shared" ca="1" si="214"/>
        <v>7.9264813494826739E-2</v>
      </c>
      <c r="AH391">
        <f t="shared" ca="1" si="215"/>
        <v>6.768072538273992E-2</v>
      </c>
      <c r="AI391">
        <f t="shared" ca="1" si="216"/>
        <v>6.5493320766361329E-2</v>
      </c>
      <c r="AJ391">
        <f t="shared" ca="1" si="217"/>
        <v>6.3868321286114263E-2</v>
      </c>
      <c r="AK391">
        <f t="shared" ca="1" si="218"/>
        <v>6.2045187006762641E-2</v>
      </c>
    </row>
    <row r="392" spans="1:37" ht="17.25" customHeight="1">
      <c r="A392" s="19"/>
      <c r="B392" s="45" t="s">
        <v>347</v>
      </c>
      <c r="C392" s="36" t="s">
        <v>27</v>
      </c>
      <c r="D392" s="36" t="s">
        <v>35</v>
      </c>
      <c r="E392" s="28" t="s">
        <v>110</v>
      </c>
      <c r="F392" s="36" t="s">
        <v>29</v>
      </c>
      <c r="G392" s="28" t="s">
        <v>38</v>
      </c>
      <c r="H392" s="63" t="str">
        <f>HYPERLINK("https://www.sec.gov/Archives/edgar/data/91576/000119312519115095/d710590d424b5.htm","KEY-K")</f>
        <v>KEY-K</v>
      </c>
      <c r="I392" s="47">
        <v>5.6250000000000001E-2</v>
      </c>
      <c r="J392" s="65">
        <f ca="1">IFERROR(__xludf.DUMMYFUNCTION("GoogleFinance(H392)"),21.61)</f>
        <v>21.61</v>
      </c>
      <c r="K392" s="48">
        <f ca="1">IFERROR(__xludf.DUMMYFUNCTION("googlefinance(H392,""change"")"),-0.06)</f>
        <v>-0.06</v>
      </c>
      <c r="L392" s="27">
        <f t="shared" ca="1" si="211"/>
        <v>6.5155020823692733E-2</v>
      </c>
      <c r="M392" s="27">
        <f t="shared" ca="1" si="219"/>
        <v>-0.21928230641929958</v>
      </c>
      <c r="N392" s="28" t="s">
        <v>39</v>
      </c>
      <c r="O392" s="28" t="s">
        <v>69</v>
      </c>
      <c r="P392" s="27" t="s">
        <v>64</v>
      </c>
      <c r="Q392" s="29">
        <v>0.35199999999999998</v>
      </c>
      <c r="R392" s="64">
        <v>45550</v>
      </c>
      <c r="S392" s="54" t="s">
        <v>41</v>
      </c>
      <c r="T392" s="50" t="s">
        <v>52</v>
      </c>
      <c r="U392" s="16">
        <f t="shared" ca="1" si="207"/>
        <v>-0.81643835616438354</v>
      </c>
      <c r="V392" s="11" t="str">
        <v>All</v>
      </c>
      <c r="X392">
        <f t="shared" ca="1" si="212"/>
        <v>0.21011251299319145</v>
      </c>
      <c r="Z392" s="17">
        <f t="shared" ca="1" si="213"/>
        <v>46213</v>
      </c>
      <c r="AG392" s="33">
        <f t="shared" ca="1" si="214"/>
        <v>0.13472263140404478</v>
      </c>
      <c r="AH392">
        <f t="shared" ca="1" si="215"/>
        <v>9.0262951871326561E-2</v>
      </c>
      <c r="AI392">
        <f t="shared" ca="1" si="216"/>
        <v>8.1909658018407952E-2</v>
      </c>
      <c r="AJ392">
        <f t="shared" ca="1" si="217"/>
        <v>7.5713986765552729E-2</v>
      </c>
      <c r="AK392">
        <f t="shared" ca="1" si="218"/>
        <v>6.8783858289361774E-2</v>
      </c>
    </row>
    <row r="393" spans="1:37" ht="17.25" customHeight="1">
      <c r="A393" s="19"/>
      <c r="B393" s="45" t="s">
        <v>347</v>
      </c>
      <c r="C393" s="36" t="s">
        <v>27</v>
      </c>
      <c r="D393" s="36" t="s">
        <v>35</v>
      </c>
      <c r="E393" s="28" t="s">
        <v>110</v>
      </c>
      <c r="F393" s="28" t="s">
        <v>46</v>
      </c>
      <c r="G393" s="28" t="s">
        <v>38</v>
      </c>
      <c r="H393" s="51" t="str">
        <f>HYPERLINK("https://innovativeincomeinvestor.com/security/keycorp-6-125-fixed-to-floating-rate-perpetual-non-cumulative-preferred-stock/","KEY-I")</f>
        <v>KEY-I</v>
      </c>
      <c r="I393" s="47">
        <v>6.1249999999999999E-2</v>
      </c>
      <c r="J393" s="65">
        <f ca="1">IFERROR(__xludf.DUMMYFUNCTION("GoogleFinance(H393)"),24.9)</f>
        <v>24.9</v>
      </c>
      <c r="K393" s="48">
        <f ca="1">IFERROR(__xludf.DUMMYFUNCTION("googlefinance(H393,""change"")"),-0.09)</f>
        <v>-0.09</v>
      </c>
      <c r="L393" s="27">
        <f t="shared" ca="1" si="211"/>
        <v>6.1495983935742973E-2</v>
      </c>
      <c r="M393" s="27">
        <f t="shared" ca="1" si="219"/>
        <v>9.0907750281358071E-2</v>
      </c>
      <c r="N393" s="28" t="s">
        <v>39</v>
      </c>
      <c r="O393" s="28" t="s">
        <v>69</v>
      </c>
      <c r="P393" s="28" t="s">
        <v>64</v>
      </c>
      <c r="Q393" s="29">
        <f>(I393*25)/4</f>
        <v>0.3828125</v>
      </c>
      <c r="R393" s="64">
        <v>46371</v>
      </c>
      <c r="S393" s="54" t="s">
        <v>41</v>
      </c>
      <c r="T393" s="62" t="s">
        <v>52</v>
      </c>
      <c r="U393" s="16">
        <f t="shared" ca="1" si="207"/>
        <v>1.4328767123287671</v>
      </c>
      <c r="V393" s="11" t="str">
        <v>All</v>
      </c>
      <c r="X393">
        <f t="shared" ca="1" si="212"/>
        <v>6.5414863463400016E-2</v>
      </c>
      <c r="Z393" s="17">
        <f t="shared" ca="1" si="213"/>
        <v>46213</v>
      </c>
      <c r="AG393" s="33">
        <f t="shared" ca="1" si="214"/>
        <v>6.3395255383466478E-2</v>
      </c>
      <c r="AH393">
        <f t="shared" ca="1" si="215"/>
        <v>6.2187103833828992E-2</v>
      </c>
      <c r="AI393">
        <f t="shared" ca="1" si="216"/>
        <v>6.1958619629110576E-2</v>
      </c>
      <c r="AJ393">
        <f t="shared" ca="1" si="217"/>
        <v>6.1789084415377608E-2</v>
      </c>
      <c r="AK393">
        <f t="shared" ca="1" si="218"/>
        <v>6.1598821946524392E-2</v>
      </c>
    </row>
    <row r="394" spans="1:37" ht="17.25" customHeight="1">
      <c r="A394" s="19"/>
      <c r="B394" s="45" t="s">
        <v>347</v>
      </c>
      <c r="C394" s="28" t="s">
        <v>27</v>
      </c>
      <c r="D394" s="28" t="s">
        <v>35</v>
      </c>
      <c r="E394" s="28" t="s">
        <v>110</v>
      </c>
      <c r="F394" s="28" t="s">
        <v>61</v>
      </c>
      <c r="G394" s="28" t="s">
        <v>38</v>
      </c>
      <c r="H394" s="83" t="str">
        <f>HYPERLINK("https://innovativeincomeinvestor.com/security/keycorp-6-20-rixed-rate-reset-perpetual-non-cumulative-preferred-stock-series-h/","KEY-L")</f>
        <v>KEY-L</v>
      </c>
      <c r="I394" s="47">
        <v>6.2E-2</v>
      </c>
      <c r="J394" s="65">
        <f ca="1">IFERROR(__xludf.DUMMYFUNCTION("GoogleFinance(H394)"),24.65)</f>
        <v>24.65</v>
      </c>
      <c r="K394" s="48">
        <f ca="1">IFERROR(__xludf.DUMMYFUNCTION("googlefinance(H394,""change"")"),-0.02)</f>
        <v>-0.02</v>
      </c>
      <c r="L394" s="27">
        <f t="shared" ca="1" si="211"/>
        <v>6.3286004056795131E-2</v>
      </c>
      <c r="M394" s="27">
        <f t="shared" ca="1" si="219"/>
        <v>0.14460043433737058</v>
      </c>
      <c r="N394" s="28" t="s">
        <v>39</v>
      </c>
      <c r="O394" s="28" t="s">
        <v>69</v>
      </c>
      <c r="P394" s="28" t="s">
        <v>64</v>
      </c>
      <c r="Q394" s="29">
        <v>0.39</v>
      </c>
      <c r="R394" s="64">
        <v>46645</v>
      </c>
      <c r="S394" s="54" t="s">
        <v>41</v>
      </c>
      <c r="T394" s="50" t="s">
        <v>52</v>
      </c>
      <c r="U394" s="16">
        <f t="shared" ca="1" si="207"/>
        <v>2.1835616438356165</v>
      </c>
      <c r="V394" s="11" t="str">
        <v>All</v>
      </c>
      <c r="X394">
        <f t="shared" ca="1" si="212"/>
        <v>7.6677295427862988E-2</v>
      </c>
      <c r="Z394" s="17">
        <f t="shared" ca="1" si="213"/>
        <v>46213</v>
      </c>
      <c r="AG394" s="33">
        <f t="shared" ca="1" si="214"/>
        <v>6.9558789658157302E-2</v>
      </c>
      <c r="AH394">
        <f t="shared" ca="1" si="215"/>
        <v>6.5305800924145133E-2</v>
      </c>
      <c r="AI394">
        <f t="shared" ca="1" si="216"/>
        <v>6.4502287668494737E-2</v>
      </c>
      <c r="AJ394">
        <f t="shared" ca="1" si="217"/>
        <v>6.3905846964431412E-2</v>
      </c>
      <c r="AK394">
        <f t="shared" ca="1" si="218"/>
        <v>6.3238294393975797E-2</v>
      </c>
    </row>
    <row r="395" spans="1:37" ht="17.25" customHeight="1">
      <c r="A395" s="19"/>
      <c r="B395" s="45" t="s">
        <v>348</v>
      </c>
      <c r="C395" s="36" t="s">
        <v>27</v>
      </c>
      <c r="D395" s="36" t="s">
        <v>35</v>
      </c>
      <c r="E395" s="28" t="s">
        <v>110</v>
      </c>
      <c r="F395" s="36" t="s">
        <v>29</v>
      </c>
      <c r="G395" s="28" t="s">
        <v>38</v>
      </c>
      <c r="H395" s="51" t="str">
        <f>HYPERLINK("https://innovativeincomeinvestor.com/security/keycorp-5-65-fixed-rate-perpetual-non-cumulative-preferred-stock-series-f/","KEY-J")</f>
        <v>KEY-J</v>
      </c>
      <c r="I395" s="47">
        <v>5.6500000000000002E-2</v>
      </c>
      <c r="J395" s="65">
        <f ca="1">IFERROR(__xludf.DUMMYFUNCTION("GoogleFinance(H395)"),21.64)</f>
        <v>21.64</v>
      </c>
      <c r="K395" s="48">
        <f ca="1">IFERROR(__xludf.DUMMYFUNCTION("googlefinance(H395,""change"")"),-0.25)</f>
        <v>-0.25</v>
      </c>
      <c r="L395" s="27">
        <f t="shared" ca="1" si="211"/>
        <v>6.5249537892791129E-2</v>
      </c>
      <c r="M395" s="27">
        <f t="shared" ref="M395:M397" ca="1" si="220">(25-J395)/25</f>
        <v>0.13439999999999996</v>
      </c>
      <c r="N395" s="28" t="s">
        <v>39</v>
      </c>
      <c r="O395" s="28" t="s">
        <v>69</v>
      </c>
      <c r="P395" s="28" t="s">
        <v>64</v>
      </c>
      <c r="Q395" s="29">
        <v>0.35299999999999998</v>
      </c>
      <c r="R395" s="64">
        <v>45275</v>
      </c>
      <c r="S395" s="54" t="s">
        <v>41</v>
      </c>
      <c r="T395" s="62" t="s">
        <v>52</v>
      </c>
      <c r="U395" s="16">
        <f t="shared" ca="1" si="207"/>
        <v>-1.5698630136986302</v>
      </c>
      <c r="V395" s="11" t="str">
        <v>All</v>
      </c>
      <c r="X395">
        <f t="shared" ca="1" si="212"/>
        <v>0.20889333165596749</v>
      </c>
      <c r="Z395" s="17">
        <f t="shared" ca="1" si="213"/>
        <v>46213</v>
      </c>
      <c r="AG395" s="33">
        <f t="shared" ca="1" si="214"/>
        <v>0.13423881428020998</v>
      </c>
      <c r="AH395">
        <f t="shared" ca="1" si="215"/>
        <v>9.0207487255785299E-2</v>
      </c>
      <c r="AI395">
        <f t="shared" ca="1" si="216"/>
        <v>8.193462286414635E-2</v>
      </c>
      <c r="AJ395">
        <f t="shared" ca="1" si="217"/>
        <v>7.5798982011069105E-2</v>
      </c>
      <c r="AK395">
        <f t="shared" ca="1" si="218"/>
        <v>6.8937818163748318E-2</v>
      </c>
    </row>
    <row r="396" spans="1:37" ht="17.25" customHeight="1">
      <c r="A396" s="19"/>
      <c r="B396" s="45" t="s">
        <v>349</v>
      </c>
      <c r="C396" s="28" t="s">
        <v>35</v>
      </c>
      <c r="D396" s="28" t="s">
        <v>27</v>
      </c>
      <c r="E396" s="28" t="s">
        <v>63</v>
      </c>
      <c r="F396" s="28" t="s">
        <v>29</v>
      </c>
      <c r="G396" s="28" t="s">
        <v>38</v>
      </c>
      <c r="H396" s="66" t="str">
        <f>HYPERLINK("https://innovativeincomeinvestor.com/security/kimco-5-125-class-l-cumulative-redeemable-preferred-stock/","KIM-L")</f>
        <v>KIM-L</v>
      </c>
      <c r="I396" s="47">
        <v>5.1249999999999997E-2</v>
      </c>
      <c r="J396" s="65">
        <f ca="1">IFERROR(__xludf.DUMMYFUNCTION("GoogleFinance(H396)"),19.9)</f>
        <v>19.899999999999999</v>
      </c>
      <c r="K396" s="67">
        <f ca="1">IFERROR(__xludf.DUMMYFUNCTION("googlefinance(H396,""change"")"),0.02)</f>
        <v>0.02</v>
      </c>
      <c r="L396" s="27">
        <f t="shared" ca="1" si="211"/>
        <v>6.4384422110552772E-2</v>
      </c>
      <c r="M396" s="27">
        <f t="shared" ca="1" si="220"/>
        <v>0.20400000000000007</v>
      </c>
      <c r="N396" s="28" t="s">
        <v>39</v>
      </c>
      <c r="O396" s="28" t="s">
        <v>55</v>
      </c>
      <c r="P396" s="27" t="s">
        <v>32</v>
      </c>
      <c r="Q396" s="29">
        <f t="shared" ref="Q396:Q398" si="221">(I396*25)/4</f>
        <v>0.3203125</v>
      </c>
      <c r="R396" s="64">
        <v>44789</v>
      </c>
      <c r="S396" s="54" t="s">
        <v>41</v>
      </c>
      <c r="T396" s="50" t="s">
        <v>60</v>
      </c>
      <c r="U396" s="16">
        <f t="shared" ca="1" si="207"/>
        <v>-2.9013698630136986</v>
      </c>
      <c r="V396" s="11" t="str">
        <v>All</v>
      </c>
      <c r="X396">
        <f t="shared" ca="1" si="212"/>
        <v>0.29407226232831418</v>
      </c>
      <c r="Z396" s="17">
        <f t="shared" ca="1" si="213"/>
        <v>46213</v>
      </c>
      <c r="AG396" s="33">
        <f t="shared" ca="1" si="214"/>
        <v>0.17423619618221831</v>
      </c>
      <c r="AH396">
        <f t="shared" ca="1" si="215"/>
        <v>0.1041276500707182</v>
      </c>
      <c r="AI396">
        <f t="shared" ca="1" si="216"/>
        <v>9.0994472494929202E-2</v>
      </c>
      <c r="AJ396">
        <f t="shared" ca="1" si="217"/>
        <v>8.1254212735051082E-2</v>
      </c>
      <c r="AK396">
        <f t="shared" ca="1" si="218"/>
        <v>7.0334826221488622E-2</v>
      </c>
    </row>
    <row r="397" spans="1:37" ht="17.25" customHeight="1">
      <c r="A397" s="19"/>
      <c r="B397" s="45" t="s">
        <v>349</v>
      </c>
      <c r="C397" s="28" t="s">
        <v>35</v>
      </c>
      <c r="D397" s="28" t="s">
        <v>27</v>
      </c>
      <c r="E397" s="28" t="s">
        <v>63</v>
      </c>
      <c r="F397" s="28" t="s">
        <v>29</v>
      </c>
      <c r="G397" s="28" t="s">
        <v>38</v>
      </c>
      <c r="H397" s="51" t="str">
        <f>HYPERLINK("https://innovativeincomeinvestor.com/security/kimco-realty-corporation-5-25-class-m-cumulative-redeemable-preferred-stock/","KIM-M")</f>
        <v>KIM-M</v>
      </c>
      <c r="I397" s="47">
        <v>5.2499999999999998E-2</v>
      </c>
      <c r="J397" s="65">
        <f ca="1">IFERROR(__xludf.DUMMYFUNCTION("GoogleFinance(H397)"),20.18)</f>
        <v>20.18</v>
      </c>
      <c r="K397" s="48">
        <f ca="1">IFERROR(__xludf.DUMMYFUNCTION("googlefinance(H397,""change"")"),-0.01)</f>
        <v>-0.01</v>
      </c>
      <c r="L397" s="27">
        <f t="shared" ca="1" si="211"/>
        <v>6.5039643211100104E-2</v>
      </c>
      <c r="M397" s="27">
        <f t="shared" ca="1" si="220"/>
        <v>0.1928</v>
      </c>
      <c r="N397" s="28" t="s">
        <v>39</v>
      </c>
      <c r="O397" s="28" t="s">
        <v>55</v>
      </c>
      <c r="P397" s="27" t="s">
        <v>32</v>
      </c>
      <c r="Q397" s="29">
        <f t="shared" si="221"/>
        <v>0.328125</v>
      </c>
      <c r="R397" s="64">
        <v>44915</v>
      </c>
      <c r="S397" s="54" t="s">
        <v>41</v>
      </c>
      <c r="T397" s="50" t="s">
        <v>60</v>
      </c>
      <c r="U397" s="16">
        <f t="shared" ca="1" si="207"/>
        <v>-2.5561643835616437</v>
      </c>
      <c r="V397" s="11" t="str">
        <v>All</v>
      </c>
      <c r="X397">
        <f t="shared" ca="1" si="212"/>
        <v>0.2802064528096968</v>
      </c>
      <c r="Z397" s="17">
        <f t="shared" ca="1" si="213"/>
        <v>46213</v>
      </c>
      <c r="AG397" s="33">
        <f t="shared" ca="1" si="214"/>
        <v>0.16799151449748179</v>
      </c>
      <c r="AH397">
        <f t="shared" ca="1" si="215"/>
        <v>0.10225485845488262</v>
      </c>
      <c r="AI397">
        <f t="shared" ca="1" si="216"/>
        <v>8.9935813043229465E-2</v>
      </c>
      <c r="AJ397">
        <f t="shared" ca="1" si="217"/>
        <v>8.0800706681354112E-2</v>
      </c>
      <c r="AK397">
        <f t="shared" ca="1" si="218"/>
        <v>7.0569772706878198E-2</v>
      </c>
    </row>
    <row r="398" spans="1:37" ht="17.25" customHeight="1">
      <c r="A398" s="19"/>
      <c r="B398" s="45" t="s">
        <v>350</v>
      </c>
      <c r="C398" s="28" t="s">
        <v>27</v>
      </c>
      <c r="D398" s="28" t="s">
        <v>27</v>
      </c>
      <c r="E398" s="28" t="s">
        <v>54</v>
      </c>
      <c r="F398" s="36" t="s">
        <v>29</v>
      </c>
      <c r="G398" s="28" t="s">
        <v>30</v>
      </c>
      <c r="H398" s="46" t="str">
        <f>HYPERLINK("https://innovativeincomeinvestor.com/security/kkr-group-finance-ix-llc-4-625-subordinated-notes-due-2061/","KKRS")</f>
        <v>KKRS</v>
      </c>
      <c r="I398" s="47">
        <v>4.6249999999999999E-2</v>
      </c>
      <c r="J398" s="65">
        <f ca="1">IFERROR(__xludf.DUMMYFUNCTION("GoogleFinance(H398)"),17.72)</f>
        <v>17.72</v>
      </c>
      <c r="K398" s="48">
        <f ca="1">IFERROR(__xludf.DUMMYFUNCTION("googlefinance(H398,""change"")"),0.01)</f>
        <v>0.01</v>
      </c>
      <c r="L398" s="27">
        <f t="shared" ca="1" si="211"/>
        <v>6.5251128668171565E-2</v>
      </c>
      <c r="M398" s="27">
        <f t="array" aca="1" ref="M398" ca="1">L398*U398+(25-J398)/25/U398</f>
        <v>0.44846089956807816</v>
      </c>
      <c r="N398" s="28" t="s">
        <v>39</v>
      </c>
      <c r="O398" s="28" t="s">
        <v>311</v>
      </c>
      <c r="P398" s="27" t="s">
        <v>32</v>
      </c>
      <c r="Q398" s="29">
        <f t="shared" si="221"/>
        <v>0.2890625</v>
      </c>
      <c r="R398" s="64">
        <v>46113</v>
      </c>
      <c r="S398" s="61">
        <v>58897</v>
      </c>
      <c r="T398" s="50" t="s">
        <v>74</v>
      </c>
      <c r="U398" s="16">
        <f t="shared" ca="1" si="207"/>
        <v>0.72602739726027399</v>
      </c>
      <c r="V398" s="11" t="str">
        <v>All</v>
      </c>
      <c r="X398">
        <f t="shared" ca="1" si="212"/>
        <v>0.41712070346841201</v>
      </c>
      <c r="Z398" s="17">
        <f t="shared" ca="1" si="213"/>
        <v>46213</v>
      </c>
      <c r="AG398" s="33">
        <f t="shared" ca="1" si="214"/>
        <v>0.23242041124326943</v>
      </c>
      <c r="AH398">
        <f t="shared" ca="1" si="215"/>
        <v>0.12558908672003197</v>
      </c>
      <c r="AI398">
        <f t="shared" ca="1" si="216"/>
        <v>0.1056696612987004</v>
      </c>
      <c r="AJ398">
        <f t="shared" ca="1" si="217"/>
        <v>9.0907456699029207E-2</v>
      </c>
      <c r="AK398">
        <f t="shared" ca="1" si="218"/>
        <v>7.4343730970961239E-2</v>
      </c>
    </row>
    <row r="399" spans="1:37" ht="17.25" customHeight="1">
      <c r="A399" s="19"/>
      <c r="B399" s="45" t="s">
        <v>351</v>
      </c>
      <c r="C399" s="28" t="s">
        <v>27</v>
      </c>
      <c r="D399" s="28" t="s">
        <v>27</v>
      </c>
      <c r="E399" s="28" t="s">
        <v>54</v>
      </c>
      <c r="F399" s="36" t="s">
        <v>29</v>
      </c>
      <c r="G399" s="28" t="s">
        <v>30</v>
      </c>
      <c r="H399" s="51" t="str">
        <f>HYPERLINK("https://innovativeincomeinvestor.com/security/kkr-co-inc-6-875-subordinated-notes-due-2065/","KKRT")</f>
        <v>KKRT</v>
      </c>
      <c r="I399" s="187">
        <v>6.8750000000000006E-2</v>
      </c>
      <c r="J399" s="65">
        <f ca="1">IFERROR(__xludf.DUMMYFUNCTION("GoogleFinance(H399)"),25.64)</f>
        <v>25.64</v>
      </c>
      <c r="K399" s="48">
        <f ca="1">IFERROR(__xludf.DUMMYFUNCTION("googlefinance(H399,""change"")"),-0.11)</f>
        <v>-0.11</v>
      </c>
      <c r="L399" s="27">
        <f t="shared" ca="1" si="211"/>
        <v>6.7082683307332289E-2</v>
      </c>
      <c r="M399" s="27"/>
      <c r="N399" s="28" t="s">
        <v>39</v>
      </c>
      <c r="O399" s="28" t="s">
        <v>311</v>
      </c>
      <c r="P399" s="28" t="s">
        <v>32</v>
      </c>
      <c r="Q399" s="29">
        <v>0.43</v>
      </c>
      <c r="R399" s="64">
        <v>47635</v>
      </c>
      <c r="S399" s="61">
        <v>60419</v>
      </c>
      <c r="T399" s="50" t="s">
        <v>81</v>
      </c>
      <c r="U399" s="16"/>
      <c r="V399" s="11" t="str">
        <v>All</v>
      </c>
      <c r="X399">
        <f t="shared" ca="1" si="212"/>
        <v>4.2466941184444502E-2</v>
      </c>
      <c r="Z399" s="17">
        <f t="shared" ca="1" si="213"/>
        <v>46213</v>
      </c>
      <c r="AG399" s="33">
        <f t="shared" ca="1" si="214"/>
        <v>5.5143255653856353E-2</v>
      </c>
      <c r="AH399">
        <f t="shared" ca="1" si="215"/>
        <v>6.2742064548571841E-2</v>
      </c>
      <c r="AI399">
        <f t="shared" ca="1" si="216"/>
        <v>6.417789181107772E-2</v>
      </c>
      <c r="AJ399">
        <f t="shared" ca="1" si="217"/>
        <v>6.5242819319145731E-2</v>
      </c>
      <c r="AK399">
        <f t="shared" ca="1" si="218"/>
        <v>6.6426166872154843E-2</v>
      </c>
    </row>
    <row r="400" spans="1:37" ht="17.25" customHeight="1">
      <c r="A400" s="19"/>
      <c r="B400" s="45" t="s">
        <v>352</v>
      </c>
      <c r="C400" s="28" t="s">
        <v>35</v>
      </c>
      <c r="D400" s="28" t="s">
        <v>27</v>
      </c>
      <c r="E400" s="28" t="s">
        <v>63</v>
      </c>
      <c r="F400" s="36" t="s">
        <v>29</v>
      </c>
      <c r="G400" s="28" t="s">
        <v>38</v>
      </c>
      <c r="H400" s="208" t="str">
        <f>HYPERLINK("https://innovativeincomeinvestor.com/security/kkr-real-estate-finance-trust-6-50-series-a-cumulative-redeemable-preferred-stock/","KREF-A")</f>
        <v>KREF-A</v>
      </c>
      <c r="I400" s="187">
        <v>6.5000000000000002E-2</v>
      </c>
      <c r="J400" s="96">
        <f ca="1">IFERROR(__xludf.DUMMYFUNCTION("GoogleFinance(H400)"),20.22)</f>
        <v>20.22</v>
      </c>
      <c r="K400" s="152">
        <f ca="1">IFERROR(__xludf.DUMMYFUNCTION("googlefinance(H400,""change"")"),-0.53)</f>
        <v>-0.53</v>
      </c>
      <c r="L400" s="27">
        <f t="shared" ca="1" si="211"/>
        <v>8.1107814045499507E-2</v>
      </c>
      <c r="M400" s="27">
        <f t="shared" ref="M400:M402" ca="1" si="222">L400*U400+(25-J400)/25/U400</f>
        <v>0.31146255010926777</v>
      </c>
      <c r="N400" s="28" t="s">
        <v>31</v>
      </c>
      <c r="O400" s="28" t="s">
        <v>32</v>
      </c>
      <c r="P400" s="28" t="s">
        <v>32</v>
      </c>
      <c r="Q400" s="29">
        <v>0.41</v>
      </c>
      <c r="R400" s="64">
        <v>46128</v>
      </c>
      <c r="S400" s="54" t="s">
        <v>41</v>
      </c>
      <c r="T400" s="50" t="s">
        <v>52</v>
      </c>
      <c r="U400" s="16">
        <f t="shared" ref="U400:U444" ca="1" si="223">(R400-TODAY())/365</f>
        <v>0.76712328767123283</v>
      </c>
      <c r="V400" s="11" t="str">
        <v>All</v>
      </c>
      <c r="X400">
        <f t="shared" ca="1" si="212"/>
        <v>0.2923686620899239</v>
      </c>
      <c r="Z400" s="17">
        <f t="shared" ca="1" si="213"/>
        <v>46213</v>
      </c>
      <c r="AG400" s="33">
        <f t="shared" ca="1" si="214"/>
        <v>0.18107886782443</v>
      </c>
      <c r="AH400">
        <f t="shared" ca="1" si="215"/>
        <v>0.1159464479227251</v>
      </c>
      <c r="AI400">
        <f t="shared" ca="1" si="216"/>
        <v>0.10378512521698341</v>
      </c>
      <c r="AJ400">
        <f t="shared" ca="1" si="217"/>
        <v>9.4814742356056803E-2</v>
      </c>
      <c r="AK400">
        <f t="shared" ca="1" si="218"/>
        <v>8.4963927936186068E-2</v>
      </c>
    </row>
    <row r="401" spans="1:37" ht="17.25" customHeight="1">
      <c r="A401" s="19"/>
      <c r="B401" s="45" t="s">
        <v>353</v>
      </c>
      <c r="C401" s="28" t="s">
        <v>27</v>
      </c>
      <c r="D401" s="28" t="s">
        <v>35</v>
      </c>
      <c r="E401" s="28" t="s">
        <v>110</v>
      </c>
      <c r="F401" s="36" t="s">
        <v>29</v>
      </c>
      <c r="G401" s="28" t="s">
        <v>38</v>
      </c>
      <c r="H401" s="83" t="str">
        <f>HYPERLINK("https://innovativeincomeinvestor.com/security/level-one-bancorp-7-50-non-cumulative-perpetual-preferred-stock-series-b/","FRMEP")</f>
        <v>FRMEP</v>
      </c>
      <c r="I401" s="47">
        <v>7.4999999999999997E-2</v>
      </c>
      <c r="J401" s="65">
        <f ca="1">IFERROR(__xludf.DUMMYFUNCTION("GoogleFinance(H401)"),25.32)</f>
        <v>25.32</v>
      </c>
      <c r="K401" s="48">
        <f ca="1">IFERROR(__xludf.DUMMYFUNCTION("googlefinance(H401,""change"")"),0)</f>
        <v>0</v>
      </c>
      <c r="L401" s="27">
        <f t="shared" ca="1" si="211"/>
        <v>7.4052132701421802E-2</v>
      </c>
      <c r="M401" s="27">
        <f t="shared" ca="1" si="222"/>
        <v>-0.12247400578530888</v>
      </c>
      <c r="N401" s="28" t="s">
        <v>31</v>
      </c>
      <c r="O401" s="28" t="s">
        <v>32</v>
      </c>
      <c r="P401" s="28" t="s">
        <v>32</v>
      </c>
      <c r="Q401" s="29">
        <f t="shared" ref="Q401:Q402" si="224">(I401*25)/4</f>
        <v>0.46875</v>
      </c>
      <c r="R401" s="64">
        <v>45884</v>
      </c>
      <c r="S401" s="54" t="s">
        <v>41</v>
      </c>
      <c r="T401" s="50" t="s">
        <v>33</v>
      </c>
      <c r="U401" s="16">
        <f t="shared" ca="1" si="223"/>
        <v>9.8630136986301367E-2</v>
      </c>
      <c r="V401" s="11" t="str">
        <v>All</v>
      </c>
      <c r="X401">
        <f t="shared" ca="1" si="212"/>
        <v>6.1702601295281899E-2</v>
      </c>
      <c r="Z401" s="17">
        <f t="shared" ca="1" si="213"/>
        <v>46213</v>
      </c>
      <c r="AG401" s="33">
        <f t="shared" ca="1" si="214"/>
        <v>6.8100025780305121E-2</v>
      </c>
      <c r="AH401">
        <f t="shared" ca="1" si="215"/>
        <v>7.192756556433294E-2</v>
      </c>
      <c r="AI401">
        <f t="shared" ca="1" si="216"/>
        <v>7.264892339033141E-2</v>
      </c>
      <c r="AJ401">
        <f t="shared" ca="1" si="217"/>
        <v>7.3182626259034905E-2</v>
      </c>
      <c r="AK401">
        <f t="shared" ca="1" si="218"/>
        <v>7.3769615292957738E-2</v>
      </c>
    </row>
    <row r="402" spans="1:37" ht="17.25" customHeight="1">
      <c r="A402" s="19"/>
      <c r="B402" s="45" t="s">
        <v>354</v>
      </c>
      <c r="C402" s="28" t="s">
        <v>35</v>
      </c>
      <c r="D402" s="28" t="s">
        <v>35</v>
      </c>
      <c r="E402" s="28" t="s">
        <v>67</v>
      </c>
      <c r="F402" s="36" t="s">
        <v>29</v>
      </c>
      <c r="G402" s="28" t="s">
        <v>177</v>
      </c>
      <c r="H402" s="55" t="str">
        <f>HYPERLINK("https://innovativeincomeinvestor.com/security/liberty-broadband-series-a-cumulative-redeemable-preferred-stock/","LBRDP")</f>
        <v>LBRDP</v>
      </c>
      <c r="I402" s="47">
        <v>7.0000000000000007E-2</v>
      </c>
      <c r="J402" s="65">
        <f ca="1">IFERROR(__xludf.DUMMYFUNCTION("GoogleFinance(H402)"),25.05)</f>
        <v>25.05</v>
      </c>
      <c r="K402" s="48">
        <f ca="1">IFERROR(__xludf.DUMMYFUNCTION("googlefinance(H402,""change"")"),0)</f>
        <v>0</v>
      </c>
      <c r="L402" s="27">
        <f t="shared" ca="1" si="211"/>
        <v>6.9860279441117765E-2</v>
      </c>
      <c r="M402" s="27">
        <f t="shared" ca="1" si="222"/>
        <v>0.95492985648654927</v>
      </c>
      <c r="N402" s="28" t="s">
        <v>31</v>
      </c>
      <c r="O402" s="28" t="s">
        <v>32</v>
      </c>
      <c r="P402" s="28" t="s">
        <v>32</v>
      </c>
      <c r="Q402" s="29">
        <f t="shared" si="224"/>
        <v>0.43750000000000006</v>
      </c>
      <c r="R402" s="64">
        <v>50838</v>
      </c>
      <c r="S402" s="61">
        <v>50838</v>
      </c>
      <c r="T402" s="50" t="s">
        <v>60</v>
      </c>
      <c r="U402" s="16">
        <f t="shared" ca="1" si="223"/>
        <v>13.671232876712329</v>
      </c>
      <c r="V402" s="11" t="str">
        <v>All</v>
      </c>
      <c r="X402">
        <f t="shared" ca="1" si="212"/>
        <v>6.7914392434563417E-2</v>
      </c>
      <c r="Z402" s="17">
        <f t="shared" ca="1" si="213"/>
        <v>46213</v>
      </c>
      <c r="AG402" s="33">
        <f t="shared" ca="1" si="214"/>
        <v>6.8920919051499982E-2</v>
      </c>
      <c r="AH402">
        <f t="shared" ca="1" si="215"/>
        <v>6.9522409900210025E-2</v>
      </c>
      <c r="AI402">
        <f t="shared" ca="1" si="216"/>
        <v>6.9635763641035367E-2</v>
      </c>
      <c r="AJ402">
        <f t="shared" ca="1" si="217"/>
        <v>6.9720007878548235E-2</v>
      </c>
      <c r="AK402">
        <f t="shared" ca="1" si="218"/>
        <v>6.9812904701225448E-2</v>
      </c>
    </row>
    <row r="403" spans="1:37" ht="17.25" customHeight="1">
      <c r="A403" s="19"/>
      <c r="B403" s="45" t="s">
        <v>355</v>
      </c>
      <c r="C403" s="28" t="s">
        <v>35</v>
      </c>
      <c r="D403" s="28" t="s">
        <v>35</v>
      </c>
      <c r="E403" s="28" t="s">
        <v>67</v>
      </c>
      <c r="F403" s="28" t="s">
        <v>29</v>
      </c>
      <c r="G403" s="28" t="s">
        <v>38</v>
      </c>
      <c r="H403" s="83" t="str">
        <f>HYPERLINK("https://innovativeincomeinvestor.com/security/lifemd-inc-8-875-series-a-cumulative-perpetual-preferred-stock/","LFMDP")</f>
        <v>LFMDP</v>
      </c>
      <c r="I403" s="47">
        <v>8.8749999999999996E-2</v>
      </c>
      <c r="J403" s="65">
        <f ca="1">IFERROR(__xludf.DUMMYFUNCTION("GoogleFinance(H403)"),24.02)</f>
        <v>24.02</v>
      </c>
      <c r="K403" s="48">
        <f ca="1">IFERROR(__xludf.DUMMYFUNCTION("googlefinance(H403,""change"")"),-0.03)</f>
        <v>-0.03</v>
      </c>
      <c r="L403" s="27">
        <f t="shared" ca="1" si="211"/>
        <v>9.1590341382181528E-2</v>
      </c>
      <c r="M403" s="27">
        <f ca="1">(25-J403)/25</f>
        <v>3.920000000000002E-2</v>
      </c>
      <c r="N403" s="28" t="s">
        <v>31</v>
      </c>
      <c r="O403" s="28" t="s">
        <v>32</v>
      </c>
      <c r="P403" s="28" t="s">
        <v>32</v>
      </c>
      <c r="Q403" s="29">
        <v>0.55000000000000004</v>
      </c>
      <c r="R403" s="64">
        <v>44849</v>
      </c>
      <c r="S403" s="28" t="s">
        <v>86</v>
      </c>
      <c r="T403" s="62" t="s">
        <v>60</v>
      </c>
      <c r="U403" s="16">
        <f t="shared" ca="1" si="223"/>
        <v>-2.7369863013698632</v>
      </c>
      <c r="V403" s="11" t="str">
        <v>All</v>
      </c>
      <c r="X403">
        <f t="shared" ca="1" si="212"/>
        <v>0.13121667641095475</v>
      </c>
      <c r="Z403" s="17">
        <f t="shared" ca="1" si="213"/>
        <v>46213</v>
      </c>
      <c r="AG403" s="33">
        <f t="shared" ca="1" si="214"/>
        <v>0.11087266099128898</v>
      </c>
      <c r="AH403">
        <f t="shared" ca="1" si="215"/>
        <v>9.8782950970026387E-2</v>
      </c>
      <c r="AI403">
        <f t="shared" ca="1" si="216"/>
        <v>9.6521273059993778E-2</v>
      </c>
      <c r="AJ403">
        <f t="shared" ca="1" si="217"/>
        <v>9.4863158505782572E-2</v>
      </c>
      <c r="AK403">
        <f t="shared" ca="1" si="218"/>
        <v>9.308719537073909E-2</v>
      </c>
    </row>
    <row r="404" spans="1:37" ht="17.25" customHeight="1">
      <c r="A404" s="19"/>
      <c r="B404" s="45" t="s">
        <v>356</v>
      </c>
      <c r="C404" s="28" t="s">
        <v>27</v>
      </c>
      <c r="D404" s="28" t="s">
        <v>35</v>
      </c>
      <c r="E404" s="28" t="s">
        <v>28</v>
      </c>
      <c r="F404" s="36" t="s">
        <v>29</v>
      </c>
      <c r="G404" s="28" t="s">
        <v>38</v>
      </c>
      <c r="H404" s="23" t="str">
        <f>HYPERLINK("https://innovativeincomeinvestor.com/security/lincoln-financial-group-9-00-non-cumulative-preferred-stock-series-d-2/","LNC-D")</f>
        <v>LNC-D</v>
      </c>
      <c r="I404" s="47">
        <v>0.09</v>
      </c>
      <c r="J404" s="65">
        <f ca="1">IFERROR(__xludf.DUMMYFUNCTION("GoogleFinance(H404)"),26.77)</f>
        <v>26.77</v>
      </c>
      <c r="K404" s="67">
        <f ca="1">IFERROR(__xludf.DUMMYFUNCTION("googlefinance(H404,""change"")"),0.01)</f>
        <v>0.01</v>
      </c>
      <c r="L404" s="27">
        <f t="shared" ca="1" si="211"/>
        <v>8.3675756443780364E-2</v>
      </c>
      <c r="M404" s="27">
        <f t="shared" ref="M404:M408" ca="1" si="225">L404*U404+(25-J404)/25/U404</f>
        <v>0.17079581244866673</v>
      </c>
      <c r="N404" s="28" t="s">
        <v>39</v>
      </c>
      <c r="O404" s="28" t="s">
        <v>55</v>
      </c>
      <c r="P404" s="28" t="s">
        <v>64</v>
      </c>
      <c r="Q404" s="65">
        <v>0.56000000000000005</v>
      </c>
      <c r="R404" s="64">
        <v>46722</v>
      </c>
      <c r="S404" s="65" t="s">
        <v>41</v>
      </c>
      <c r="T404" s="62" t="s">
        <v>81</v>
      </c>
      <c r="U404" s="16">
        <f t="shared" ca="1" si="223"/>
        <v>2.3945205479452056</v>
      </c>
      <c r="V404" s="11" t="str">
        <v>All</v>
      </c>
      <c r="X404">
        <f t="shared" ca="1" si="212"/>
        <v>1.8384615527428403E-2</v>
      </c>
      <c r="Z404" s="17">
        <f t="shared" ca="1" si="213"/>
        <v>46213</v>
      </c>
      <c r="AG404" s="33">
        <f t="shared" ca="1" si="214"/>
        <v>5.2478277396325095E-2</v>
      </c>
      <c r="AH404">
        <f t="shared" ca="1" si="215"/>
        <v>7.2964602224613997E-2</v>
      </c>
      <c r="AI404">
        <f t="shared" ca="1" si="216"/>
        <v>7.6820390986274495E-2</v>
      </c>
      <c r="AJ404">
        <f t="shared" ca="1" si="217"/>
        <v>7.9658433072591864E-2</v>
      </c>
      <c r="AK404">
        <f t="shared" ca="1" si="218"/>
        <v>8.272606260514051E-2</v>
      </c>
    </row>
    <row r="405" spans="1:37" ht="17.25" customHeight="1">
      <c r="A405" s="19"/>
      <c r="B405" s="45" t="s">
        <v>357</v>
      </c>
      <c r="C405" s="28" t="s">
        <v>35</v>
      </c>
      <c r="D405" s="28" t="s">
        <v>27</v>
      </c>
      <c r="E405" s="28" t="s">
        <v>63</v>
      </c>
      <c r="F405" s="36" t="s">
        <v>29</v>
      </c>
      <c r="G405" s="28" t="s">
        <v>38</v>
      </c>
      <c r="H405" s="46" t="str">
        <f>HYPERLINK("https://innovativeincomeinvestor.com/security/lument-finance-trust-inc-7-875-series-a-cumulative-redeemable-preferred-stock/","LFT-A")</f>
        <v>LFT-A</v>
      </c>
      <c r="I405" s="47">
        <v>7.8750000000000001E-2</v>
      </c>
      <c r="J405" s="26">
        <f ca="1">IFERROR(__xludf.DUMMYFUNCTION("GOOGLEFINANCE(H405)"),21.2)</f>
        <v>21.2</v>
      </c>
      <c r="K405" s="48">
        <f ca="1">IFERROR(__xludf.DUMMYFUNCTION("googlefinance(H405,""change"")"),0)</f>
        <v>0</v>
      </c>
      <c r="L405" s="27">
        <f t="shared" ca="1" si="211"/>
        <v>9.2452830188679253E-2</v>
      </c>
      <c r="M405" s="27">
        <f t="shared" ca="1" si="225"/>
        <v>0.26128717159204762</v>
      </c>
      <c r="N405" s="28" t="s">
        <v>31</v>
      </c>
      <c r="O405" s="28" t="s">
        <v>32</v>
      </c>
      <c r="P405" s="28" t="s">
        <v>32</v>
      </c>
      <c r="Q405" s="29">
        <v>0.49</v>
      </c>
      <c r="R405" s="64">
        <v>46147</v>
      </c>
      <c r="S405" s="54" t="s">
        <v>41</v>
      </c>
      <c r="T405" s="50" t="s">
        <v>60</v>
      </c>
      <c r="U405" s="16">
        <f t="shared" ca="1" si="223"/>
        <v>0.81917808219178079</v>
      </c>
      <c r="V405" s="11" t="str">
        <v>All</v>
      </c>
      <c r="X405">
        <f t="shared" ca="1" si="212"/>
        <v>0.25580374897354119</v>
      </c>
      <c r="Z405" s="17">
        <f t="shared" ca="1" si="213"/>
        <v>46213</v>
      </c>
      <c r="AG405" s="33">
        <f t="shared" ca="1" si="214"/>
        <v>0.16998839080585099</v>
      </c>
      <c r="AH405">
        <f t="shared" ca="1" si="215"/>
        <v>0.1195946840786242</v>
      </c>
      <c r="AI405">
        <f t="shared" ca="1" si="216"/>
        <v>0.11020532461555684</v>
      </c>
      <c r="AJ405">
        <f t="shared" ca="1" si="217"/>
        <v>0.10331685331908054</v>
      </c>
      <c r="AK405">
        <f t="shared" ca="1" si="218"/>
        <v>9.5908066313247359E-2</v>
      </c>
    </row>
    <row r="406" spans="1:37" ht="17.25" customHeight="1">
      <c r="A406" s="19"/>
      <c r="B406" s="100" t="s">
        <v>358</v>
      </c>
      <c r="C406" s="71" t="s">
        <v>35</v>
      </c>
      <c r="D406" s="71" t="s">
        <v>35</v>
      </c>
      <c r="E406" s="71" t="s">
        <v>220</v>
      </c>
      <c r="F406" s="71" t="s">
        <v>29</v>
      </c>
      <c r="G406" s="71" t="s">
        <v>38</v>
      </c>
      <c r="H406" s="72" t="str">
        <f>HYPERLINK("https://innovativeincomeinvestor.com/security/luxurban-hotels-inc-13-00-series-a-cumulative-redeemable-preferred-stock/","LUXHP")</f>
        <v>LUXHP</v>
      </c>
      <c r="I406" s="73">
        <v>0.13</v>
      </c>
      <c r="J406" s="74">
        <f ca="1">IFERROR(__xludf.DUMMYFUNCTION("GoogleFinance(H406)"),1.5)</f>
        <v>1.5</v>
      </c>
      <c r="K406" s="102">
        <f ca="1">IFERROR(__xludf.DUMMYFUNCTION("googlefinance(H406,""change"")"),-0.15)</f>
        <v>-0.15</v>
      </c>
      <c r="L406" s="75">
        <f ca="1">(Q406*12)/J406</f>
        <v>2.1680000000000001</v>
      </c>
      <c r="M406" s="75">
        <f t="shared" ca="1" si="225"/>
        <v>3.534860389817255</v>
      </c>
      <c r="N406" s="71" t="s">
        <v>31</v>
      </c>
      <c r="O406" s="71" t="s">
        <v>32</v>
      </c>
      <c r="P406" s="71" t="s">
        <v>32</v>
      </c>
      <c r="Q406" s="76">
        <v>0.27100000000000002</v>
      </c>
      <c r="R406" s="77">
        <v>46321</v>
      </c>
      <c r="S406" s="74" t="s">
        <v>41</v>
      </c>
      <c r="T406" s="78" t="s">
        <v>178</v>
      </c>
      <c r="U406" s="16">
        <f t="shared" ca="1" si="223"/>
        <v>1.295890410958904</v>
      </c>
      <c r="V406" s="11" t="str">
        <v>All</v>
      </c>
      <c r="X406">
        <f t="shared" ca="1" si="212"/>
        <v>5.191990113455744</v>
      </c>
      <c r="Z406" s="17">
        <f t="shared" ca="1" si="213"/>
        <v>46213</v>
      </c>
      <c r="AG406" s="33">
        <f t="shared" ca="1" si="214"/>
        <v>2.8030380297663648</v>
      </c>
      <c r="AH406">
        <f t="shared" ca="1" si="215"/>
        <v>2.169942307015845</v>
      </c>
      <c r="AI406">
        <f t="shared" ca="1" si="216"/>
        <v>2.1617395270363917</v>
      </c>
      <c r="AJ406">
        <f t="shared" ca="1" si="217"/>
        <v>2.1615508872381164</v>
      </c>
      <c r="AK406">
        <f t="shared" ca="1" si="218"/>
        <v>2.1543259927483818</v>
      </c>
    </row>
    <row r="407" spans="1:37" ht="17.25" customHeight="1">
      <c r="A407" s="19"/>
      <c r="B407" s="45" t="s">
        <v>359</v>
      </c>
      <c r="C407" s="28" t="s">
        <v>27</v>
      </c>
      <c r="D407" s="28" t="s">
        <v>35</v>
      </c>
      <c r="E407" s="28" t="s">
        <v>110</v>
      </c>
      <c r="F407" s="36" t="s">
        <v>29</v>
      </c>
      <c r="G407" s="28" t="s">
        <v>38</v>
      </c>
      <c r="H407" s="51" t="str">
        <f>HYPERLINK("https://innovativeincomeinvestor.com/security/mt-bank-corporation-7-50-non-cumulative-preferred-stock-series-j/","MTB-J")</f>
        <v>MTB-J</v>
      </c>
      <c r="I407" s="47">
        <v>7.4999999999999997E-2</v>
      </c>
      <c r="J407" s="25">
        <f ca="1">IFERROR(__xludf.DUMMYFUNCTION("GoogleFinance(H407)"),26.58)</f>
        <v>26.58</v>
      </c>
      <c r="K407" s="48">
        <f ca="1">IFERROR(__xludf.DUMMYFUNCTION("googlefinance(H407,""change"")"),-0.08)</f>
        <v>-0.08</v>
      </c>
      <c r="L407" s="27">
        <f t="shared" ref="L407:L408" ca="1" si="226">(Q407*4)/J407</f>
        <v>7.0729872084273893E-2</v>
      </c>
      <c r="M407" s="27">
        <f t="shared" ca="1" si="225"/>
        <v>0.26220469016959758</v>
      </c>
      <c r="N407" s="28" t="s">
        <v>39</v>
      </c>
      <c r="O407" s="28" t="s">
        <v>69</v>
      </c>
      <c r="P407" s="28" t="s">
        <v>64</v>
      </c>
      <c r="Q407" s="29">
        <v>0.47</v>
      </c>
      <c r="R407" s="64">
        <v>47284</v>
      </c>
      <c r="S407" s="54" t="s">
        <v>41</v>
      </c>
      <c r="T407" s="62" t="s">
        <v>52</v>
      </c>
      <c r="U407" s="16">
        <f t="shared" ca="1" si="223"/>
        <v>3.9342465753424656</v>
      </c>
      <c r="V407" s="11" t="str">
        <v>All</v>
      </c>
      <c r="X407">
        <f t="shared" ca="1" si="212"/>
        <v>1.135100022047833E-2</v>
      </c>
      <c r="Z407" s="17">
        <f t="shared" ca="1" si="213"/>
        <v>46213</v>
      </c>
      <c r="AG407" s="33">
        <f t="shared" ca="1" si="214"/>
        <v>4.1892617152058796E-2</v>
      </c>
      <c r="AH407">
        <f t="shared" ca="1" si="215"/>
        <v>6.0258703652667556E-2</v>
      </c>
      <c r="AI407">
        <f t="shared" ca="1" si="216"/>
        <v>6.3730068108585572E-2</v>
      </c>
      <c r="AJ407">
        <f t="shared" ca="1" si="217"/>
        <v>6.63008070833669E-2</v>
      </c>
      <c r="AK407">
        <f t="shared" ca="1" si="218"/>
        <v>6.9140965585738665E-2</v>
      </c>
    </row>
    <row r="408" spans="1:37" ht="17.25" customHeight="1">
      <c r="A408" s="19"/>
      <c r="B408" s="45" t="s">
        <v>360</v>
      </c>
      <c r="C408" s="28" t="s">
        <v>27</v>
      </c>
      <c r="D408" s="28" t="s">
        <v>35</v>
      </c>
      <c r="E408" s="28" t="s">
        <v>110</v>
      </c>
      <c r="F408" s="28" t="s">
        <v>46</v>
      </c>
      <c r="G408" s="28" t="s">
        <v>38</v>
      </c>
      <c r="H408" s="23" t="str">
        <f>HYPERLINK("https://innovativeincomeinvestor.com/security/peoples-united-financials-inc-fixed-to-floating-rate-non-cumulative-perpetual-preferred-stock-series-a/","MTB-H")</f>
        <v>MTB-H</v>
      </c>
      <c r="I408" s="47">
        <v>5.6250000000000001E-2</v>
      </c>
      <c r="J408" s="65">
        <f ca="1">IFERROR(__xludf.DUMMYFUNCTION("GoogleFinance(H408)"),25.1)</f>
        <v>25.1</v>
      </c>
      <c r="K408" s="48">
        <f ca="1">IFERROR(__xludf.DUMMYFUNCTION("googlefinance(H408,""change"")"),-0.04)</f>
        <v>-0.04</v>
      </c>
      <c r="L408" s="27">
        <f t="shared" ca="1" si="226"/>
        <v>5.6025896414342628E-2</v>
      </c>
      <c r="M408" s="27">
        <f t="shared" ca="1" si="225"/>
        <v>7.7486615261367325E-2</v>
      </c>
      <c r="N408" s="28" t="s">
        <v>39</v>
      </c>
      <c r="O408" s="28" t="s">
        <v>69</v>
      </c>
      <c r="P408" s="28" t="s">
        <v>64</v>
      </c>
      <c r="Q408" s="29">
        <f>(I408*25)/4</f>
        <v>0.3515625</v>
      </c>
      <c r="R408" s="64">
        <v>46371</v>
      </c>
      <c r="S408" s="54" t="s">
        <v>41</v>
      </c>
      <c r="T408" s="62" t="s">
        <v>52</v>
      </c>
      <c r="U408" s="16">
        <f t="shared" ca="1" si="223"/>
        <v>1.4328767123287671</v>
      </c>
      <c r="V408" s="11" t="str">
        <v>All</v>
      </c>
      <c r="X408">
        <f t="shared" ca="1" si="212"/>
        <v>5.211885950660447E-2</v>
      </c>
      <c r="Z408" s="17">
        <f t="shared" ca="1" si="213"/>
        <v>46213</v>
      </c>
      <c r="AG408" s="33">
        <f t="shared" ca="1" si="214"/>
        <v>5.412630648825844E-2</v>
      </c>
      <c r="AH408">
        <f t="shared" ca="1" si="215"/>
        <v>5.532807409304677E-2</v>
      </c>
      <c r="AI408">
        <f t="shared" ca="1" si="216"/>
        <v>5.5555550535379139E-2</v>
      </c>
      <c r="AJ408">
        <f t="shared" ca="1" si="217"/>
        <v>5.572504776113732E-2</v>
      </c>
      <c r="AK408">
        <f t="shared" ca="1" si="218"/>
        <v>5.5915934525875441E-2</v>
      </c>
    </row>
    <row r="409" spans="1:37" ht="17.25" customHeight="1">
      <c r="A409" s="19"/>
      <c r="B409" s="45" t="s">
        <v>361</v>
      </c>
      <c r="C409" s="28" t="s">
        <v>27</v>
      </c>
      <c r="D409" s="28" t="s">
        <v>27</v>
      </c>
      <c r="E409" s="28" t="s">
        <v>28</v>
      </c>
      <c r="F409" s="36" t="s">
        <v>29</v>
      </c>
      <c r="G409" s="28" t="s">
        <v>30</v>
      </c>
      <c r="H409" s="66" t="str">
        <f>HYPERLINK("https://innovativeincomeinvestor.com/security/maiden-holdings-north-america-ltd-7-75-notes-due-2043/","MHNC")</f>
        <v>MHNC</v>
      </c>
      <c r="I409" s="47">
        <v>7.7499999999999999E-2</v>
      </c>
      <c r="J409" s="26">
        <f ca="1">IFERROR(__xludf.DUMMYFUNCTION("GOOGLEFINANCE(H409)"),16.7)</f>
        <v>16.7</v>
      </c>
      <c r="K409" s="26">
        <f ca="1">IFERROR(__xludf.DUMMYFUNCTION("GOOGLEFINANCE(H409,""change"")"),0.2)</f>
        <v>0.2</v>
      </c>
      <c r="L409" s="27">
        <f ca="1">Q409*4/J409</f>
        <v>0.11497005988023952</v>
      </c>
      <c r="M409" s="27">
        <f t="shared" ref="M409:M410" ca="1" si="227">(25-J409)/25</f>
        <v>0.33200000000000002</v>
      </c>
      <c r="N409" s="28" t="s">
        <v>31</v>
      </c>
      <c r="O409" s="28" t="s">
        <v>32</v>
      </c>
      <c r="P409" s="28" t="s">
        <v>32</v>
      </c>
      <c r="Q409" s="65">
        <v>0.48</v>
      </c>
      <c r="R409" s="64">
        <v>43435</v>
      </c>
      <c r="S409" s="64">
        <v>52566</v>
      </c>
      <c r="T409" s="62" t="s">
        <v>81</v>
      </c>
      <c r="U409" s="16">
        <f t="shared" ca="1" si="223"/>
        <v>-6.6109589041095891</v>
      </c>
      <c r="V409" s="11" t="str">
        <v>All</v>
      </c>
      <c r="X409">
        <f t="shared" ca="1" si="212"/>
        <v>0.5251640678283338</v>
      </c>
      <c r="Z409" s="17">
        <f t="shared" ca="1" si="213"/>
        <v>46213</v>
      </c>
      <c r="AG409" s="33">
        <f t="shared" ca="1" si="214"/>
        <v>0.3054008039812065</v>
      </c>
      <c r="AH409">
        <f t="shared" ca="1" si="215"/>
        <v>0.17951918444317322</v>
      </c>
      <c r="AI409">
        <f t="shared" ca="1" si="216"/>
        <v>0.15640692962549099</v>
      </c>
      <c r="AJ409">
        <f t="shared" ca="1" si="217"/>
        <v>0.13960651977214955</v>
      </c>
      <c r="AK409">
        <f t="shared" ca="1" si="218"/>
        <v>0.12204817913950548</v>
      </c>
    </row>
    <row r="410" spans="1:37" ht="17.25" customHeight="1">
      <c r="A410" s="19"/>
      <c r="B410" s="45" t="s">
        <v>361</v>
      </c>
      <c r="C410" s="28" t="s">
        <v>27</v>
      </c>
      <c r="D410" s="28" t="s">
        <v>27</v>
      </c>
      <c r="E410" s="28" t="s">
        <v>28</v>
      </c>
      <c r="F410" s="36" t="s">
        <v>29</v>
      </c>
      <c r="G410" s="28" t="s">
        <v>30</v>
      </c>
      <c r="H410" s="51" t="str">
        <f>HYPERLINK("https://innovativeincomeinvestor.com/security/maiden-holdings-ltd-6-625-notes-due-2046/","MHLA")</f>
        <v>MHLA</v>
      </c>
      <c r="I410" s="47">
        <v>6.6250000000000003E-2</v>
      </c>
      <c r="J410" s="150">
        <f ca="1">IFERROR(__xludf.DUMMYFUNCTION("importxml(""https://bigcharts.marketwatch.com/quickchart/quickchart.asp?symb=MHLA&amp;insttype=Stock"",""/html/body/div[1]/div[2]/table/tbody/tr/td[1]/table/tbody/tr[3]/td[1]/div"")"),14.88)</f>
        <v>14.88</v>
      </c>
      <c r="K410" s="26">
        <f ca="1">IFERROR(__xludf.DUMMYFUNCTION("GOOGLEFINANCE(H410,""change"")"),0.19)</f>
        <v>0.19</v>
      </c>
      <c r="L410" s="27">
        <f t="shared" ref="L410:L411" ca="1" si="228">(Q410*4)/J410</f>
        <v>0.11131720430107526</v>
      </c>
      <c r="M410" s="27">
        <f t="shared" ca="1" si="227"/>
        <v>0.40479999999999999</v>
      </c>
      <c r="N410" s="28" t="s">
        <v>31</v>
      </c>
      <c r="O410" s="28" t="s">
        <v>32</v>
      </c>
      <c r="P410" s="28" t="s">
        <v>32</v>
      </c>
      <c r="Q410" s="65">
        <v>0.41410000000000002</v>
      </c>
      <c r="R410" s="64">
        <v>44361</v>
      </c>
      <c r="S410" s="64">
        <v>53492</v>
      </c>
      <c r="T410" s="62" t="s">
        <v>362</v>
      </c>
      <c r="U410" s="16">
        <f t="shared" ca="1" si="223"/>
        <v>-4.0739726027397261</v>
      </c>
      <c r="V410" s="11" t="str">
        <v>All</v>
      </c>
      <c r="X410">
        <f t="shared" ca="1" si="212"/>
        <v>0.64690772599629565</v>
      </c>
      <c r="Z410" s="17">
        <f t="shared" ca="1" si="213"/>
        <v>46213</v>
      </c>
      <c r="AG410" s="33">
        <f t="shared" ca="1" si="214"/>
        <v>0.35834943936731062</v>
      </c>
      <c r="AH410">
        <f t="shared" ca="1" si="215"/>
        <v>0.19478883214371695</v>
      </c>
      <c r="AI410">
        <f t="shared" ca="1" si="216"/>
        <v>0.16481730664178765</v>
      </c>
      <c r="AJ410">
        <f t="shared" ca="1" si="217"/>
        <v>0.14296523509163783</v>
      </c>
      <c r="AK410">
        <f t="shared" ca="1" si="218"/>
        <v>0.11980643749212061</v>
      </c>
    </row>
    <row r="411" spans="1:37" ht="17.25" customHeight="1">
      <c r="A411" s="68"/>
      <c r="B411" s="69" t="s">
        <v>363</v>
      </c>
      <c r="C411" s="36" t="s">
        <v>27</v>
      </c>
      <c r="D411" s="36" t="s">
        <v>35</v>
      </c>
      <c r="E411" s="36" t="s">
        <v>110</v>
      </c>
      <c r="F411" s="36" t="s">
        <v>29</v>
      </c>
      <c r="G411" s="36" t="s">
        <v>38</v>
      </c>
      <c r="H411" s="46" t="str">
        <f>HYPERLINK("https://innovativeincomeinvestor.com/security/mainstreet-bancshares-inc-7-50-series-a-fixed-rate-non-cumulative-perpetual-preferred-stock/","MNSBP")</f>
        <v>MNSBP</v>
      </c>
      <c r="I411" s="47">
        <v>7.4999999999999997E-2</v>
      </c>
      <c r="J411" s="96">
        <f ca="1">IFERROR(__xludf.DUMMYFUNCTION("GoogleFinance(H411)"),24.24)</f>
        <v>24.24</v>
      </c>
      <c r="K411" s="115">
        <f ca="1">IFERROR(__xludf.DUMMYFUNCTION("googlefinance(H411,""change"")"),0.04)</f>
        <v>0.04</v>
      </c>
      <c r="L411" s="97">
        <f t="shared" ca="1" si="228"/>
        <v>7.7557755775577553E-2</v>
      </c>
      <c r="M411" s="97">
        <f t="array" aca="1" ref="M411" ca="1">L411*U411+(25-J411)/25/U411</f>
        <v>0.15274100734497134</v>
      </c>
      <c r="N411" s="89" t="s">
        <v>31</v>
      </c>
      <c r="O411" s="89" t="s">
        <v>32</v>
      </c>
      <c r="P411" s="89" t="s">
        <v>32</v>
      </c>
      <c r="Q411" s="29">
        <v>0.47</v>
      </c>
      <c r="R411" s="209">
        <v>45930</v>
      </c>
      <c r="S411" s="89" t="s">
        <v>41</v>
      </c>
      <c r="T411" s="93" t="s">
        <v>56</v>
      </c>
      <c r="U411" s="16">
        <f t="shared" ca="1" si="223"/>
        <v>0.22465753424657534</v>
      </c>
      <c r="V411" s="11" t="str">
        <v>All</v>
      </c>
      <c r="X411">
        <f t="shared" ca="1" si="212"/>
        <v>0.10746897333932634</v>
      </c>
      <c r="Z411" s="17">
        <f t="shared" ca="1" si="213"/>
        <v>46213</v>
      </c>
      <c r="AG411" s="33">
        <f t="shared" ca="1" si="214"/>
        <v>9.18115200016595E-2</v>
      </c>
      <c r="AH411">
        <f t="shared" ca="1" si="215"/>
        <v>8.2484152123113483E-2</v>
      </c>
      <c r="AI411">
        <f t="shared" ca="1" si="216"/>
        <v>8.073009433602063E-2</v>
      </c>
      <c r="AJ411">
        <f t="shared" ca="1" si="217"/>
        <v>7.9435217525339552E-2</v>
      </c>
      <c r="AK411">
        <f t="shared" ca="1" si="218"/>
        <v>7.8014431525252059E-2</v>
      </c>
    </row>
    <row r="412" spans="1:37" ht="17.25" customHeight="1">
      <c r="A412" s="68"/>
      <c r="B412" s="69" t="s">
        <v>364</v>
      </c>
      <c r="C412" s="36" t="s">
        <v>35</v>
      </c>
      <c r="D412" s="36" t="s">
        <v>27</v>
      </c>
      <c r="E412" s="36" t="s">
        <v>63</v>
      </c>
      <c r="F412" s="36" t="s">
        <v>29</v>
      </c>
      <c r="G412" s="36" t="s">
        <v>38</v>
      </c>
      <c r="H412" s="55" t="str">
        <f>HYPERLINK("https://innovativeincomeinvestor.com/security/medalist-diversified-reit-inc-8-00-series-a-cumulative-redeemable-preferred-stock/","MDRRP")</f>
        <v>MDRRP</v>
      </c>
      <c r="I412" s="47">
        <v>0.08</v>
      </c>
      <c r="J412" s="79" t="s">
        <v>68</v>
      </c>
      <c r="K412" s="86" t="s">
        <v>68</v>
      </c>
      <c r="L412" s="86" t="s">
        <v>68</v>
      </c>
      <c r="M412" s="27" t="e">
        <f>(25-J412)/25</f>
        <v>#VALUE!</v>
      </c>
      <c r="N412" s="89" t="s">
        <v>31</v>
      </c>
      <c r="O412" s="89" t="s">
        <v>32</v>
      </c>
      <c r="P412" s="89" t="s">
        <v>32</v>
      </c>
      <c r="Q412" s="91">
        <v>0.5</v>
      </c>
      <c r="R412" s="209">
        <v>44611</v>
      </c>
      <c r="S412" s="89" t="s">
        <v>41</v>
      </c>
      <c r="T412" s="93" t="s">
        <v>198</v>
      </c>
      <c r="U412" s="16">
        <f t="shared" ca="1" si="223"/>
        <v>-3.3890410958904109</v>
      </c>
      <c r="V412" s="11" t="str">
        <v>All</v>
      </c>
      <c r="X412" t="e">
        <f t="shared" ca="1" si="212"/>
        <v>#VALUE!</v>
      </c>
      <c r="Z412" s="17">
        <f t="shared" ca="1" si="213"/>
        <v>46213</v>
      </c>
      <c r="AG412" s="33" t="e">
        <f t="shared" ca="1" si="214"/>
        <v>#VALUE!</v>
      </c>
      <c r="AH412" t="e">
        <f t="shared" ca="1" si="215"/>
        <v>#VALUE!</v>
      </c>
      <c r="AI412" t="e">
        <f t="shared" ca="1" si="216"/>
        <v>#VALUE!</v>
      </c>
      <c r="AJ412" t="e">
        <f t="shared" ca="1" si="217"/>
        <v>#VALUE!</v>
      </c>
      <c r="AK412" t="e">
        <f t="shared" ca="1" si="218"/>
        <v>#VALUE!</v>
      </c>
    </row>
    <row r="413" spans="1:37" ht="17.25" customHeight="1">
      <c r="A413" s="68"/>
      <c r="B413" s="69" t="s">
        <v>365</v>
      </c>
      <c r="C413" s="36" t="s">
        <v>27</v>
      </c>
      <c r="D413" s="36" t="s">
        <v>35</v>
      </c>
      <c r="E413" s="36" t="s">
        <v>110</v>
      </c>
      <c r="F413" s="36" t="s">
        <v>46</v>
      </c>
      <c r="G413" s="36" t="s">
        <v>38</v>
      </c>
      <c r="H413" s="46" t="str">
        <f>HYPERLINK("https://innovativeincomeinvestor.com/security/medaliion-bank-8-00-fixed-tofloatin-rate-non-cumulative-perpetual-preferred-stock-series-f/","MBNKP")</f>
        <v>MBNKP</v>
      </c>
      <c r="I413" s="47">
        <v>0.08</v>
      </c>
      <c r="J413" s="96" t="str">
        <f ca="1">IFERROR(__xludf.DUMMYFUNCTION("GoogleFinance(H413)"),"#N/A")</f>
        <v>#N/A</v>
      </c>
      <c r="K413" s="115" t="str">
        <f ca="1">IFERROR(__xludf.DUMMYFUNCTION("googlefinance(H413,""change"")"),"#N/A")</f>
        <v>#N/A</v>
      </c>
      <c r="L413" s="52" t="s">
        <v>47</v>
      </c>
      <c r="M413" s="97" t="e">
        <f t="shared" ref="M413:M415" ca="1" si="229">L413*U413+(25-J413)/25/U413</f>
        <v>#VALUE!</v>
      </c>
      <c r="N413" s="89" t="s">
        <v>31</v>
      </c>
      <c r="O413" s="89" t="s">
        <v>32</v>
      </c>
      <c r="P413" s="89" t="s">
        <v>32</v>
      </c>
      <c r="Q413" s="52" t="s">
        <v>47</v>
      </c>
      <c r="R413" s="209">
        <v>45748</v>
      </c>
      <c r="S413" s="89" t="s">
        <v>41</v>
      </c>
      <c r="T413" s="93" t="s">
        <v>74</v>
      </c>
      <c r="U413" s="16">
        <f t="shared" ca="1" si="223"/>
        <v>-0.27397260273972601</v>
      </c>
      <c r="V413" s="11" t="str">
        <v>All</v>
      </c>
      <c r="X413" t="e">
        <f t="shared" ca="1" si="212"/>
        <v>#VALUE!</v>
      </c>
      <c r="Z413" s="17">
        <f t="shared" ca="1" si="213"/>
        <v>46213</v>
      </c>
      <c r="AG413" s="33" t="e">
        <f t="shared" ca="1" si="214"/>
        <v>#VALUE!</v>
      </c>
      <c r="AH413" t="e">
        <f t="shared" ca="1" si="215"/>
        <v>#VALUE!</v>
      </c>
      <c r="AI413" t="e">
        <f t="shared" ca="1" si="216"/>
        <v>#VALUE!</v>
      </c>
      <c r="AJ413" t="e">
        <f t="shared" ca="1" si="217"/>
        <v>#VALUE!</v>
      </c>
      <c r="AK413" t="e">
        <f t="shared" ca="1" si="218"/>
        <v>#VALUE!</v>
      </c>
    </row>
    <row r="414" spans="1:37" ht="17.25" customHeight="1">
      <c r="A414" s="19"/>
      <c r="B414" s="45" t="s">
        <v>366</v>
      </c>
      <c r="C414" s="28" t="s">
        <v>27</v>
      </c>
      <c r="D414" s="28" t="s">
        <v>35</v>
      </c>
      <c r="E414" s="28" t="s">
        <v>110</v>
      </c>
      <c r="F414" s="28" t="s">
        <v>29</v>
      </c>
      <c r="G414" s="28" t="s">
        <v>38</v>
      </c>
      <c r="H414" s="119" t="str">
        <f>HYPERLINK("https://innovativeincomeinvestor.com/security/merchants-bancorp-6-00-fixed-rate-series-non-cumulative-perpetual-preferred-stock/","MBINN")</f>
        <v>MBINN</v>
      </c>
      <c r="I414" s="187">
        <v>0.06</v>
      </c>
      <c r="J414" s="65">
        <f ca="1">IFERROR(__xludf.DUMMYFUNCTION("GoogleFinance(H414)"),19.53)</f>
        <v>19.53</v>
      </c>
      <c r="K414" s="113">
        <f ca="1">IFERROR(__xludf.DUMMYFUNCTION("googlefinance(H414,""change"")"),-0.26)</f>
        <v>-0.26</v>
      </c>
      <c r="L414" s="58">
        <f t="shared" ref="L414:L415" ca="1" si="230">(Q414*4)/J414</f>
        <v>7.7828981054787499E-2</v>
      </c>
      <c r="M414" s="27">
        <f t="shared" ca="1" si="229"/>
        <v>0.35787201028247556</v>
      </c>
      <c r="N414" s="59" t="s">
        <v>31</v>
      </c>
      <c r="O414" s="59" t="s">
        <v>32</v>
      </c>
      <c r="P414" s="28" t="s">
        <v>367</v>
      </c>
      <c r="Q414" s="29">
        <v>0.38</v>
      </c>
      <c r="R414" s="64">
        <v>46113</v>
      </c>
      <c r="S414" s="36" t="s">
        <v>41</v>
      </c>
      <c r="T414" s="62" t="s">
        <v>74</v>
      </c>
      <c r="U414" s="16">
        <f t="shared" ca="1" si="223"/>
        <v>0.72602739726027399</v>
      </c>
      <c r="V414" s="11" t="str">
        <v>All</v>
      </c>
      <c r="X414">
        <f t="shared" ca="1" si="212"/>
        <v>0.32497265392955177</v>
      </c>
      <c r="Z414" s="17">
        <f t="shared" ca="1" si="213"/>
        <v>46213</v>
      </c>
      <c r="AG414" s="33">
        <f t="shared" ca="1" si="214"/>
        <v>0.19468629190850639</v>
      </c>
      <c r="AH414">
        <f t="shared" ca="1" si="215"/>
        <v>0.11866981879242644</v>
      </c>
      <c r="AI414">
        <f t="shared" ca="1" si="216"/>
        <v>0.10448060568916258</v>
      </c>
      <c r="AJ414">
        <f t="shared" ca="1" si="217"/>
        <v>9.400066980654162E-2</v>
      </c>
      <c r="AK414">
        <f t="shared" ca="1" si="218"/>
        <v>8.2424945370924846E-2</v>
      </c>
    </row>
    <row r="415" spans="1:37" ht="17.25" customHeight="1">
      <c r="A415" s="19"/>
      <c r="B415" s="45" t="s">
        <v>366</v>
      </c>
      <c r="C415" s="28" t="s">
        <v>27</v>
      </c>
      <c r="D415" s="28" t="s">
        <v>35</v>
      </c>
      <c r="E415" s="28" t="s">
        <v>110</v>
      </c>
      <c r="F415" s="28" t="s">
        <v>29</v>
      </c>
      <c r="G415" s="28" t="s">
        <v>38</v>
      </c>
      <c r="H415" s="51" t="str">
        <f>HYPERLINK("https://innovativeincomeinvestor.com/security/merchants-bancorp-7-625-fixed-rate-series-e-non-cumulative-perpetual-preferred-stock/","MBINL")</f>
        <v>MBINL</v>
      </c>
      <c r="I415" s="47">
        <v>7.6249999999999998E-2</v>
      </c>
      <c r="J415" s="65">
        <f ca="1">IFERROR(__xludf.DUMMYFUNCTION("GoogleFinance(H415)"),23.26)</f>
        <v>23.26</v>
      </c>
      <c r="K415" s="113">
        <f ca="1">IFERROR(__xludf.DUMMYFUNCTION("googlefinance(H415,""change"")"),-0.02)</f>
        <v>-0.02</v>
      </c>
      <c r="L415" s="58">
        <f t="shared" ca="1" si="230"/>
        <v>8.2029234737747203E-2</v>
      </c>
      <c r="M415" s="27">
        <f t="shared" ca="1" si="229"/>
        <v>0.38319887908805539</v>
      </c>
      <c r="N415" s="59" t="s">
        <v>31</v>
      </c>
      <c r="O415" s="59" t="s">
        <v>32</v>
      </c>
      <c r="P415" s="28" t="s">
        <v>367</v>
      </c>
      <c r="Q415" s="28">
        <v>0.47699999999999998</v>
      </c>
      <c r="R415" s="210">
        <v>47484</v>
      </c>
      <c r="S415" s="54" t="s">
        <v>86</v>
      </c>
      <c r="T415" s="62" t="s">
        <v>74</v>
      </c>
      <c r="U415" s="16">
        <f t="shared" ca="1" si="223"/>
        <v>4.4821917808219176</v>
      </c>
      <c r="V415" s="11" t="str">
        <v>All</v>
      </c>
      <c r="X415">
        <f t="shared" ca="1" si="212"/>
        <v>0.1526128987351221</v>
      </c>
      <c r="Z415" s="17">
        <f t="shared" ca="1" si="213"/>
        <v>46213</v>
      </c>
      <c r="AG415" s="33">
        <f t="shared" ca="1" si="214"/>
        <v>0.11573152610116536</v>
      </c>
      <c r="AH415">
        <f t="shared" ca="1" si="215"/>
        <v>9.3857619448302634E-2</v>
      </c>
      <c r="AI415">
        <f t="shared" ca="1" si="216"/>
        <v>8.9755742521359594E-2</v>
      </c>
      <c r="AJ415">
        <f t="shared" ca="1" si="217"/>
        <v>8.6732949422736794E-2</v>
      </c>
      <c r="AK415">
        <f t="shared" ca="1" si="218"/>
        <v>8.3435732513134339E-2</v>
      </c>
    </row>
    <row r="416" spans="1:37" ht="17.25" customHeight="1">
      <c r="A416" s="19"/>
      <c r="B416" s="45" t="s">
        <v>366</v>
      </c>
      <c r="C416" s="28" t="s">
        <v>27</v>
      </c>
      <c r="D416" s="28" t="s">
        <v>35</v>
      </c>
      <c r="E416" s="28" t="s">
        <v>110</v>
      </c>
      <c r="F416" s="28" t="s">
        <v>46</v>
      </c>
      <c r="G416" s="28" t="s">
        <v>38</v>
      </c>
      <c r="H416" s="94" t="str">
        <f>HYPERLINK("https://innovativeincomeinvestor.com/security/merchants-bancorp-7-00-fixed-to-floating-rates-series-a-non-cumulative-perpetual-preferred-stock/","MBINP")</f>
        <v>MBINP</v>
      </c>
      <c r="I416" s="47">
        <v>7.0000000000000007E-2</v>
      </c>
      <c r="J416" s="86" t="s">
        <v>68</v>
      </c>
      <c r="K416" s="86" t="s">
        <v>68</v>
      </c>
      <c r="L416" s="86" t="s">
        <v>68</v>
      </c>
      <c r="M416" s="86" t="s">
        <v>68</v>
      </c>
      <c r="N416" s="28" t="s">
        <v>31</v>
      </c>
      <c r="O416" s="28" t="s">
        <v>32</v>
      </c>
      <c r="P416" s="28" t="s">
        <v>367</v>
      </c>
      <c r="Q416" s="29">
        <f>(I416*25)/4</f>
        <v>0.43750000000000006</v>
      </c>
      <c r="R416" s="64">
        <v>45383</v>
      </c>
      <c r="S416" s="36" t="s">
        <v>41</v>
      </c>
      <c r="T416" s="62" t="s">
        <v>74</v>
      </c>
      <c r="U416" s="16">
        <f t="shared" ca="1" si="223"/>
        <v>-1.273972602739726</v>
      </c>
      <c r="V416" s="11" t="str">
        <v>All</v>
      </c>
      <c r="X416" t="e">
        <f t="shared" ca="1" si="212"/>
        <v>#VALUE!</v>
      </c>
      <c r="Z416" s="17">
        <f t="shared" ca="1" si="213"/>
        <v>46213</v>
      </c>
      <c r="AG416" s="33" t="e">
        <f t="shared" ca="1" si="214"/>
        <v>#VALUE!</v>
      </c>
      <c r="AH416" t="e">
        <f t="shared" ca="1" si="215"/>
        <v>#VALUE!</v>
      </c>
      <c r="AI416" t="e">
        <f t="shared" ca="1" si="216"/>
        <v>#VALUE!</v>
      </c>
      <c r="AJ416" t="e">
        <f t="shared" ca="1" si="217"/>
        <v>#VALUE!</v>
      </c>
      <c r="AK416" t="e">
        <f t="shared" ca="1" si="218"/>
        <v>#VALUE!</v>
      </c>
    </row>
    <row r="417" spans="1:37" ht="17.25" customHeight="1">
      <c r="A417" s="19"/>
      <c r="B417" s="45" t="s">
        <v>366</v>
      </c>
      <c r="C417" s="28" t="s">
        <v>27</v>
      </c>
      <c r="D417" s="28" t="s">
        <v>35</v>
      </c>
      <c r="E417" s="28" t="s">
        <v>110</v>
      </c>
      <c r="F417" s="28" t="s">
        <v>46</v>
      </c>
      <c r="G417" s="28" t="s">
        <v>38</v>
      </c>
      <c r="H417" s="55" t="str">
        <f>HYPERLINK("https://innovativeincomeinvestor.com/security/merchant-bancorp-6-00-fixed-to-floating-rate-series-b-non-cumulative-perpetual-preferred-stock/","MBINO")</f>
        <v>MBINO</v>
      </c>
      <c r="I417" s="47">
        <v>0.06</v>
      </c>
      <c r="J417" s="86" t="s">
        <v>68</v>
      </c>
      <c r="K417" s="86" t="s">
        <v>68</v>
      </c>
      <c r="L417" s="86" t="s">
        <v>68</v>
      </c>
      <c r="M417" s="52" t="s">
        <v>47</v>
      </c>
      <c r="N417" s="59" t="s">
        <v>31</v>
      </c>
      <c r="O417" s="59" t="s">
        <v>32</v>
      </c>
      <c r="P417" s="28" t="s">
        <v>367</v>
      </c>
      <c r="Q417" s="52" t="s">
        <v>47</v>
      </c>
      <c r="R417" s="64">
        <v>45566</v>
      </c>
      <c r="S417" s="36" t="s">
        <v>41</v>
      </c>
      <c r="T417" s="62" t="s">
        <v>74</v>
      </c>
      <c r="U417" s="16">
        <f t="shared" ca="1" si="223"/>
        <v>-0.77260273972602744</v>
      </c>
      <c r="V417" s="11" t="str">
        <v>All</v>
      </c>
      <c r="X417" t="e">
        <f t="shared" ca="1" si="212"/>
        <v>#VALUE!</v>
      </c>
      <c r="Z417" s="17">
        <f t="shared" ca="1" si="213"/>
        <v>46213</v>
      </c>
      <c r="AG417" s="33" t="e">
        <f t="shared" ca="1" si="214"/>
        <v>#VALUE!</v>
      </c>
      <c r="AH417" t="e">
        <f t="shared" ca="1" si="215"/>
        <v>#VALUE!</v>
      </c>
      <c r="AI417" t="e">
        <f t="shared" ca="1" si="216"/>
        <v>#VALUE!</v>
      </c>
      <c r="AJ417" t="e">
        <f t="shared" ca="1" si="217"/>
        <v>#VALUE!</v>
      </c>
      <c r="AK417" t="e">
        <f t="shared" ca="1" si="218"/>
        <v>#VALUE!</v>
      </c>
    </row>
    <row r="418" spans="1:37" ht="17.25" customHeight="1">
      <c r="A418" s="19"/>
      <c r="B418" s="45" t="s">
        <v>366</v>
      </c>
      <c r="C418" s="28" t="s">
        <v>27</v>
      </c>
      <c r="D418" s="28" t="s">
        <v>35</v>
      </c>
      <c r="E418" s="28" t="s">
        <v>110</v>
      </c>
      <c r="F418" s="28" t="s">
        <v>61</v>
      </c>
      <c r="G418" s="28" t="s">
        <v>38</v>
      </c>
      <c r="H418" s="83" t="str">
        <f>HYPERLINK("https://innovativeincomeinvestor.com/security/merchants-bancorp-8-25-fixed-rate-reset/","MBINM")</f>
        <v>MBINM</v>
      </c>
      <c r="I418" s="47">
        <v>8.2500000000000004E-2</v>
      </c>
      <c r="J418" s="25">
        <f ca="1">IFERROR(__xludf.DUMMYFUNCTION("GoogleFinance(H418)"),24.85)</f>
        <v>24.85</v>
      </c>
      <c r="K418" s="113">
        <f ca="1">IFERROR(__xludf.DUMMYFUNCTION("googlefinance(H418,""change"")"),-0.05)</f>
        <v>-0.05</v>
      </c>
      <c r="L418" s="58">
        <f t="shared" ref="L418:L420" ca="1" si="231">(Q418*4)/J418</f>
        <v>8.370221327967807E-2</v>
      </c>
      <c r="M418" s="27">
        <f t="array" aca="1" ref="M418" ca="1">L418*U418+(25-J418)/25/U418</f>
        <v>0.18913180747529201</v>
      </c>
      <c r="N418" s="59" t="s">
        <v>31</v>
      </c>
      <c r="O418" s="59" t="s">
        <v>32</v>
      </c>
      <c r="P418" s="28" t="s">
        <v>367</v>
      </c>
      <c r="Q418" s="29">
        <v>0.52</v>
      </c>
      <c r="R418" s="210">
        <v>46661</v>
      </c>
      <c r="S418" s="54" t="s">
        <v>41</v>
      </c>
      <c r="T418" s="62" t="s">
        <v>74</v>
      </c>
      <c r="U418" s="16">
        <f t="shared" ca="1" si="223"/>
        <v>2.2273972602739724</v>
      </c>
      <c r="V418" s="11" t="str">
        <v>All</v>
      </c>
      <c r="X418">
        <f t="shared" ca="1" si="212"/>
        <v>8.8836796368519738E-2</v>
      </c>
      <c r="Z418" s="17">
        <f t="shared" ca="1" si="213"/>
        <v>46213</v>
      </c>
      <c r="AG418" s="33">
        <f t="shared" ca="1" si="214"/>
        <v>8.5796729912327438E-2</v>
      </c>
      <c r="AH418">
        <f t="shared" ca="1" si="215"/>
        <v>8.3981984071586205E-2</v>
      </c>
      <c r="AI418">
        <f t="shared" ca="1" si="216"/>
        <v>8.3640883883590172E-2</v>
      </c>
      <c r="AJ418">
        <f t="shared" ca="1" si="217"/>
        <v>8.3390064925374527E-2</v>
      </c>
      <c r="AK418">
        <f t="shared" ca="1" si="218"/>
        <v>8.3116960752750851E-2</v>
      </c>
    </row>
    <row r="419" spans="1:37" ht="17.25" customHeight="1">
      <c r="A419" s="19"/>
      <c r="B419" s="45" t="s">
        <v>368</v>
      </c>
      <c r="C419" s="28" t="s">
        <v>27</v>
      </c>
      <c r="D419" s="28" t="s">
        <v>35</v>
      </c>
      <c r="E419" s="28" t="s">
        <v>28</v>
      </c>
      <c r="F419" s="36" t="s">
        <v>29</v>
      </c>
      <c r="G419" s="28" t="s">
        <v>38</v>
      </c>
      <c r="H419" s="51" t="str">
        <f>HYPERLINK("https://innovativeincomeinvestor.com/security/metlife-inc-5-625-non-cumulative-preferred-stock-series-e/","MET-E")</f>
        <v>MET-E</v>
      </c>
      <c r="I419" s="24">
        <v>5.6250000000000001E-2</v>
      </c>
      <c r="J419" s="65">
        <f ca="1">IFERROR(__xludf.DUMMYFUNCTION("GoogleFinance(H419)"),23.83)</f>
        <v>23.83</v>
      </c>
      <c r="K419" s="48">
        <f ca="1">IFERROR(__xludf.DUMMYFUNCTION("googlefinance(H419,""change"")"),-0.12)</f>
        <v>-0.12</v>
      </c>
      <c r="L419" s="27">
        <f t="shared" ca="1" si="231"/>
        <v>5.9011749895090226E-2</v>
      </c>
      <c r="M419" s="27">
        <f t="shared" ref="M419:M420" ca="1" si="232">(25-J419)/25</f>
        <v>4.6800000000000071E-2</v>
      </c>
      <c r="N419" s="28" t="s">
        <v>39</v>
      </c>
      <c r="O419" s="28" t="s">
        <v>50</v>
      </c>
      <c r="P419" s="28" t="s">
        <v>76</v>
      </c>
      <c r="Q419" s="29">
        <f t="shared" ref="Q419:Q420" si="233">(I419*25)/4</f>
        <v>0.3515625</v>
      </c>
      <c r="R419" s="64">
        <v>45092</v>
      </c>
      <c r="S419" s="54" t="s">
        <v>41</v>
      </c>
      <c r="T419" s="50" t="s">
        <v>52</v>
      </c>
      <c r="U419" s="16">
        <f t="shared" ca="1" si="223"/>
        <v>-2.0712328767123287</v>
      </c>
      <c r="V419" s="11" t="str">
        <v>All</v>
      </c>
      <c r="X419">
        <f t="shared" ca="1" si="212"/>
        <v>0.10619694941064636</v>
      </c>
      <c r="Z419" s="17">
        <f t="shared" ca="1" si="213"/>
        <v>46213</v>
      </c>
      <c r="AG419" s="33">
        <f t="shared" ca="1" si="214"/>
        <v>8.1855757096159484E-2</v>
      </c>
      <c r="AH419">
        <f t="shared" ca="1" si="215"/>
        <v>6.7357212178294809E-2</v>
      </c>
      <c r="AI419">
        <f t="shared" ca="1" si="216"/>
        <v>6.4619196264358081E-2</v>
      </c>
      <c r="AJ419">
        <f t="shared" ca="1" si="217"/>
        <v>6.2583801240906053E-2</v>
      </c>
      <c r="AK419">
        <f t="shared" ca="1" si="218"/>
        <v>6.0294409512724495E-2</v>
      </c>
    </row>
    <row r="420" spans="1:37" ht="17.25" customHeight="1">
      <c r="A420" s="68"/>
      <c r="B420" s="69" t="s">
        <v>368</v>
      </c>
      <c r="C420" s="28" t="s">
        <v>27</v>
      </c>
      <c r="D420" s="28" t="s">
        <v>35</v>
      </c>
      <c r="E420" s="28" t="s">
        <v>28</v>
      </c>
      <c r="F420" s="36" t="s">
        <v>29</v>
      </c>
      <c r="G420" s="28" t="s">
        <v>38</v>
      </c>
      <c r="H420" s="83" t="str">
        <f>HYPERLINK("https://innovativeincomeinvestor.com/security/metlife-inc-4-75-non-cumulative-preferred-stock-series-f/","MET-F")</f>
        <v>MET-F</v>
      </c>
      <c r="I420" s="47">
        <v>4.7500000000000001E-2</v>
      </c>
      <c r="J420" s="26">
        <f ca="1">IFERROR(__xludf.DUMMYFUNCTION("GOOGLEFINANCE(H420)"),19.84)</f>
        <v>19.84</v>
      </c>
      <c r="K420" s="48">
        <f ca="1">IFERROR(__xludf.DUMMYFUNCTION("googlefinance(H420,""change"")"),-0.08)</f>
        <v>-0.08</v>
      </c>
      <c r="L420" s="27">
        <f t="shared" ca="1" si="231"/>
        <v>5.9853830645161289E-2</v>
      </c>
      <c r="M420" s="27">
        <f t="shared" ca="1" si="232"/>
        <v>0.2064</v>
      </c>
      <c r="N420" s="28" t="s">
        <v>39</v>
      </c>
      <c r="O420" s="28" t="s">
        <v>50</v>
      </c>
      <c r="P420" s="28" t="s">
        <v>76</v>
      </c>
      <c r="Q420" s="29">
        <f t="shared" si="233"/>
        <v>0.296875</v>
      </c>
      <c r="R420" s="64">
        <v>45731</v>
      </c>
      <c r="S420" s="54" t="s">
        <v>41</v>
      </c>
      <c r="T420" s="62" t="s">
        <v>52</v>
      </c>
      <c r="U420" s="16">
        <f t="shared" ca="1" si="223"/>
        <v>-0.32054794520547947</v>
      </c>
      <c r="V420" s="11" t="str">
        <v>All</v>
      </c>
      <c r="X420">
        <f t="shared" ca="1" si="212"/>
        <v>0.29303604607341638</v>
      </c>
      <c r="Z420" s="17">
        <f t="shared" ca="1" si="213"/>
        <v>46213</v>
      </c>
      <c r="AG420" s="33">
        <f t="shared" ca="1" si="214"/>
        <v>0.1715968339425156</v>
      </c>
      <c r="AH420">
        <f t="shared" ca="1" si="215"/>
        <v>0.10055117498534993</v>
      </c>
      <c r="AI420">
        <f t="shared" ca="1" si="216"/>
        <v>8.7231667625035259E-2</v>
      </c>
      <c r="AJ420">
        <f t="shared" ca="1" si="217"/>
        <v>7.7340266809497404E-2</v>
      </c>
      <c r="AK420">
        <f t="shared" ca="1" si="218"/>
        <v>6.6196198772985992E-2</v>
      </c>
    </row>
    <row r="421" spans="1:37" ht="17.25" customHeight="1">
      <c r="A421" s="19"/>
      <c r="B421" s="45" t="s">
        <v>368</v>
      </c>
      <c r="C421" s="28" t="s">
        <v>27</v>
      </c>
      <c r="D421" s="28" t="s">
        <v>35</v>
      </c>
      <c r="E421" s="28" t="s">
        <v>28</v>
      </c>
      <c r="F421" s="28" t="s">
        <v>138</v>
      </c>
      <c r="G421" s="28" t="s">
        <v>38</v>
      </c>
      <c r="H421" s="51" t="str">
        <f>HYPERLINK("https://innovativeincomeinvestor.com/security/metlife-floating-rating-non-cumulative-preferred-stock-series-a/","MET-A")</f>
        <v>MET-A</v>
      </c>
      <c r="I421" s="47">
        <v>0.04</v>
      </c>
      <c r="J421" s="65">
        <f ca="1">IFERROR(__xludf.DUMMYFUNCTION("GoogleFinance(H421)"),23.6)</f>
        <v>23.6</v>
      </c>
      <c r="K421" s="48">
        <f ca="1">IFERROR(__xludf.DUMMYFUNCTION("googlefinance(H421,""change"")"),-0.02)</f>
        <v>-0.02</v>
      </c>
      <c r="L421" s="52" t="s">
        <v>47</v>
      </c>
      <c r="M421" s="52" t="s">
        <v>47</v>
      </c>
      <c r="N421" s="28" t="s">
        <v>39</v>
      </c>
      <c r="O421" s="28" t="s">
        <v>50</v>
      </c>
      <c r="P421" s="28" t="s">
        <v>76</v>
      </c>
      <c r="Q421" s="52" t="s">
        <v>47</v>
      </c>
      <c r="R421" s="210">
        <v>40436</v>
      </c>
      <c r="S421" s="54" t="s">
        <v>41</v>
      </c>
      <c r="T421" s="62" t="s">
        <v>52</v>
      </c>
      <c r="U421" s="16">
        <f t="shared" ca="1" si="223"/>
        <v>-14.827397260273973</v>
      </c>
      <c r="V421" s="11" t="str">
        <v>All</v>
      </c>
      <c r="X421">
        <f t="shared" ca="1" si="212"/>
        <v>9.9526216308534407E-2</v>
      </c>
      <c r="Z421" s="17">
        <f t="shared" ca="1" si="213"/>
        <v>46213</v>
      </c>
      <c r="AG421" s="33">
        <f t="shared" ca="1" si="214"/>
        <v>7.025807213652846E-2</v>
      </c>
      <c r="AH421">
        <f t="shared" ca="1" si="215"/>
        <v>5.2823523398445815E-2</v>
      </c>
      <c r="AI421">
        <f t="shared" ca="1" si="216"/>
        <v>4.9521590841051462E-2</v>
      </c>
      <c r="AJ421">
        <f t="shared" ca="1" si="217"/>
        <v>4.7055704739944873E-2</v>
      </c>
      <c r="AK421">
        <f t="shared" ca="1" si="218"/>
        <v>4.4234975460458355E-2</v>
      </c>
    </row>
    <row r="422" spans="1:37" ht="17.25" customHeight="1">
      <c r="A422" s="19"/>
      <c r="B422" s="45" t="s">
        <v>369</v>
      </c>
      <c r="C422" s="28" t="s">
        <v>35</v>
      </c>
      <c r="D422" s="28" t="s">
        <v>27</v>
      </c>
      <c r="E422" s="28" t="s">
        <v>44</v>
      </c>
      <c r="F422" s="36" t="s">
        <v>29</v>
      </c>
      <c r="G422" s="28" t="s">
        <v>38</v>
      </c>
      <c r="H422" s="66" t="str">
        <f>HYPERLINK("https://innovativeincomeinvestor.com/security/mfa-financial-7-50-series-b-cumulative-redeemable-preferred-stock/","MFA-B")</f>
        <v>MFA-B</v>
      </c>
      <c r="I422" s="47">
        <v>7.4999999999999997E-2</v>
      </c>
      <c r="J422" s="65">
        <f ca="1">IFERROR(__xludf.DUMMYFUNCTION("GoogleFinance(H422)"),20.7)</f>
        <v>20.7</v>
      </c>
      <c r="K422" s="48">
        <f ca="1">IFERROR(__xludf.DUMMYFUNCTION("googlefinance(H422,""change"")"),-0.01)</f>
        <v>-0.01</v>
      </c>
      <c r="L422" s="27">
        <f t="shared" ref="L422:L431" ca="1" si="234">(Q422*4)/J422</f>
        <v>9.0579710144927536E-2</v>
      </c>
      <c r="M422" s="27">
        <f ca="1">(25-J422)/25</f>
        <v>0.17200000000000004</v>
      </c>
      <c r="N422" s="28" t="s">
        <v>31</v>
      </c>
      <c r="O422" s="28" t="s">
        <v>32</v>
      </c>
      <c r="P422" s="28" t="s">
        <v>32</v>
      </c>
      <c r="Q422" s="29">
        <f>(I422*25)/4</f>
        <v>0.46875</v>
      </c>
      <c r="R422" s="64">
        <v>43205</v>
      </c>
      <c r="S422" s="54" t="s">
        <v>41</v>
      </c>
      <c r="T422" s="50" t="s">
        <v>42</v>
      </c>
      <c r="U422" s="16">
        <f t="shared" ca="1" si="223"/>
        <v>-7.2410958904109588</v>
      </c>
      <c r="V422" s="11" t="str">
        <v>All</v>
      </c>
      <c r="X422">
        <f t="shared" ca="1" si="212"/>
        <v>0.27787319301633429</v>
      </c>
      <c r="Z422" s="17">
        <f t="shared" ca="1" si="213"/>
        <v>46213</v>
      </c>
      <c r="AG422" s="33">
        <f t="shared" ca="1" si="214"/>
        <v>0.17922487694660372</v>
      </c>
      <c r="AH422">
        <f t="shared" ca="1" si="215"/>
        <v>0.12141365729386083</v>
      </c>
      <c r="AI422">
        <f t="shared" ca="1" si="216"/>
        <v>0.11064264071900901</v>
      </c>
      <c r="AJ422">
        <f t="shared" ca="1" si="217"/>
        <v>0.10273152125359725</v>
      </c>
      <c r="AK422">
        <f t="shared" ca="1" si="218"/>
        <v>9.4183107044981826E-2</v>
      </c>
    </row>
    <row r="423" spans="1:37" ht="17.25" customHeight="1">
      <c r="A423" s="19"/>
      <c r="B423" s="45" t="s">
        <v>369</v>
      </c>
      <c r="C423" s="28" t="s">
        <v>35</v>
      </c>
      <c r="D423" s="28" t="s">
        <v>27</v>
      </c>
      <c r="E423" s="28" t="s">
        <v>44</v>
      </c>
      <c r="F423" s="36" t="s">
        <v>29</v>
      </c>
      <c r="G423" s="28" t="s">
        <v>38</v>
      </c>
      <c r="H423" s="23" t="str">
        <f>HYPERLINK("https://innovativeincomeinvestor.com/security/mfa-finanical-6-50-series-c-fixed-to-floating-rate-cumulative-redeemable-preferred-stock/","MFA-C")</f>
        <v>MFA-C</v>
      </c>
      <c r="I423" s="47">
        <v>6.5000000000000002E-2</v>
      </c>
      <c r="J423" s="65">
        <f ca="1">IFERROR(__xludf.DUMMYFUNCTION("GoogleFinance(H423)"),23.97)</f>
        <v>23.97</v>
      </c>
      <c r="K423" s="48">
        <f ca="1">IFERROR(__xludf.DUMMYFUNCTION("googlefinance(H423,""change"")"),0.12)</f>
        <v>0.12</v>
      </c>
      <c r="L423" s="27">
        <f t="shared" ca="1" si="234"/>
        <v>6.8418856904463907E-2</v>
      </c>
      <c r="M423" s="27">
        <f t="shared" ref="M423:M431" ca="1" si="235">L423*U423+(25-J423)/25/U423</f>
        <v>-0.16782343033452984</v>
      </c>
      <c r="N423" s="28" t="s">
        <v>31</v>
      </c>
      <c r="O423" s="28" t="s">
        <v>32</v>
      </c>
      <c r="P423" s="28" t="s">
        <v>32</v>
      </c>
      <c r="Q423" s="29">
        <v>0.41</v>
      </c>
      <c r="R423" s="64">
        <v>45747</v>
      </c>
      <c r="S423" s="54" t="s">
        <v>41</v>
      </c>
      <c r="T423" s="50" t="s">
        <v>42</v>
      </c>
      <c r="U423" s="16">
        <f t="shared" ca="1" si="223"/>
        <v>-0.27671232876712326</v>
      </c>
      <c r="V423" s="11" t="str">
        <v>All</v>
      </c>
      <c r="X423">
        <f t="shared" ca="1" si="212"/>
        <v>0.10904568014418846</v>
      </c>
      <c r="Z423" s="17">
        <f t="shared" ca="1" si="213"/>
        <v>46213</v>
      </c>
      <c r="AG423" s="33">
        <f t="shared" ca="1" si="214"/>
        <v>8.7683444947497774E-2</v>
      </c>
      <c r="AH423">
        <f t="shared" ca="1" si="215"/>
        <v>7.496068110581687E-2</v>
      </c>
      <c r="AI423">
        <f t="shared" ca="1" si="216"/>
        <v>7.256265131658983E-2</v>
      </c>
      <c r="AJ423">
        <f t="shared" ca="1" si="217"/>
        <v>7.0785454984787999E-2</v>
      </c>
      <c r="AK423">
        <f t="shared" ca="1" si="218"/>
        <v>6.8808457140032267E-2</v>
      </c>
    </row>
    <row r="424" spans="1:37" ht="17.25" customHeight="1">
      <c r="A424" s="19"/>
      <c r="B424" s="45" t="s">
        <v>369</v>
      </c>
      <c r="C424" s="28" t="s">
        <v>27</v>
      </c>
      <c r="D424" s="28" t="s">
        <v>27</v>
      </c>
      <c r="E424" s="28" t="s">
        <v>44</v>
      </c>
      <c r="F424" s="36" t="s">
        <v>29</v>
      </c>
      <c r="G424" s="28" t="s">
        <v>30</v>
      </c>
      <c r="H424" s="83" t="str">
        <f>HYPERLINK("https://innovativeincomeinvestor.com/security/mfa-financial-inc-8-875-senior-notes-due-2029/","MFAN")</f>
        <v>MFAN</v>
      </c>
      <c r="I424" s="47">
        <v>8.8749999999999996E-2</v>
      </c>
      <c r="J424" s="65">
        <f ca="1">IFERROR(__xludf.DUMMYFUNCTION("GoogleFinance(H424)"),25.1)</f>
        <v>25.1</v>
      </c>
      <c r="K424" s="48">
        <f ca="1">IFERROR(__xludf.DUMMYFUNCTION("googlefinance(H424,""change"")"),0.05)</f>
        <v>0.05</v>
      </c>
      <c r="L424" s="27">
        <f t="shared" ca="1" si="234"/>
        <v>8.8286852589641432E-2</v>
      </c>
      <c r="M424" s="27">
        <f t="shared" ca="1" si="235"/>
        <v>4.657762970533795E-2</v>
      </c>
      <c r="N424" s="28" t="s">
        <v>31</v>
      </c>
      <c r="O424" s="28" t="s">
        <v>32</v>
      </c>
      <c r="P424" s="28" t="s">
        <v>32</v>
      </c>
      <c r="Q424" s="29">
        <v>0.55400000000000005</v>
      </c>
      <c r="R424" s="64">
        <v>46068</v>
      </c>
      <c r="S424" s="61">
        <v>47164</v>
      </c>
      <c r="T424" s="50" t="s">
        <v>33</v>
      </c>
      <c r="U424" s="16">
        <f t="shared" ca="1" si="223"/>
        <v>0.60273972602739723</v>
      </c>
      <c r="V424" s="11" t="str">
        <v>All</v>
      </c>
      <c r="X424">
        <f t="shared" ca="1" si="212"/>
        <v>8.4536449169000258E-2</v>
      </c>
      <c r="Z424" s="17">
        <f t="shared" ca="1" si="213"/>
        <v>46213</v>
      </c>
      <c r="AG424" s="33">
        <f t="shared" ca="1" si="214"/>
        <v>8.6550400491124987E-2</v>
      </c>
      <c r="AH424">
        <f t="shared" ca="1" si="215"/>
        <v>8.7751997125625675E-2</v>
      </c>
      <c r="AI424">
        <f t="shared" ca="1" si="216"/>
        <v>8.7977147790402874E-2</v>
      </c>
      <c r="AJ424">
        <f t="shared" ca="1" si="217"/>
        <v>8.8143020940732134E-2</v>
      </c>
      <c r="AK424">
        <f t="shared" ca="1" si="218"/>
        <v>8.8320695802462199E-2</v>
      </c>
    </row>
    <row r="425" spans="1:37" ht="17.25" customHeight="1">
      <c r="A425" s="19"/>
      <c r="B425" s="45" t="s">
        <v>369</v>
      </c>
      <c r="C425" s="28" t="s">
        <v>27</v>
      </c>
      <c r="D425" s="28" t="s">
        <v>27</v>
      </c>
      <c r="E425" s="28" t="s">
        <v>44</v>
      </c>
      <c r="F425" s="36" t="s">
        <v>29</v>
      </c>
      <c r="G425" s="28" t="s">
        <v>30</v>
      </c>
      <c r="H425" s="23" t="str">
        <f>HYPERLINK("https://innovativeincomeinvestor.com/security/mfa-financial-inc-9-00-senior-notes-due-2029/","MFAO")</f>
        <v>MFAO</v>
      </c>
      <c r="I425" s="47">
        <v>0.09</v>
      </c>
      <c r="J425" s="65">
        <f ca="1">IFERROR(__xludf.DUMMYFUNCTION("GoogleFinance(H425)"),25.21)</f>
        <v>25.21</v>
      </c>
      <c r="K425" s="48">
        <f ca="1">IFERROR(__xludf.DUMMYFUNCTION("googlefinance(H425,""change"")"),-0.04)</f>
        <v>-0.04</v>
      </c>
      <c r="L425" s="27">
        <f t="shared" ca="1" si="234"/>
        <v>8.9250297500991671E-2</v>
      </c>
      <c r="M425" s="27">
        <f t="shared" ca="1" si="235"/>
        <v>9.0407181282799565E-2</v>
      </c>
      <c r="N425" s="28" t="s">
        <v>31</v>
      </c>
      <c r="O425" s="28" t="s">
        <v>32</v>
      </c>
      <c r="P425" s="28" t="s">
        <v>32</v>
      </c>
      <c r="Q425" s="29">
        <v>0.5625</v>
      </c>
      <c r="R425" s="64">
        <v>46249</v>
      </c>
      <c r="S425" s="61">
        <v>47345</v>
      </c>
      <c r="T425" s="50" t="s">
        <v>33</v>
      </c>
      <c r="U425" s="16">
        <f t="shared" ca="1" si="223"/>
        <v>1.0986301369863014</v>
      </c>
      <c r="V425" s="11" t="str">
        <v>All</v>
      </c>
      <c r="X425">
        <f t="shared" ca="1" si="212"/>
        <v>8.1169579776543682E-2</v>
      </c>
      <c r="Z425" s="17">
        <f t="shared" ca="1" si="213"/>
        <v>46213</v>
      </c>
      <c r="AG425" s="33">
        <f t="shared" ca="1" si="214"/>
        <v>8.5386611070324414E-2</v>
      </c>
      <c r="AH425">
        <f t="shared" ca="1" si="215"/>
        <v>8.7904144200280254E-2</v>
      </c>
      <c r="AI425">
        <f t="shared" ca="1" si="216"/>
        <v>8.8376030101689373E-2</v>
      </c>
      <c r="AJ425">
        <f t="shared" ca="1" si="217"/>
        <v>8.8723013368547418E-2</v>
      </c>
      <c r="AK425">
        <f t="shared" ca="1" si="218"/>
        <v>8.9094905360886767E-2</v>
      </c>
    </row>
    <row r="426" spans="1:37" ht="17.25" customHeight="1">
      <c r="A426" s="19"/>
      <c r="B426" s="45" t="s">
        <v>370</v>
      </c>
      <c r="C426" s="28" t="s">
        <v>27</v>
      </c>
      <c r="D426" s="28" t="s">
        <v>27</v>
      </c>
      <c r="E426" s="28" t="s">
        <v>171</v>
      </c>
      <c r="F426" s="36" t="s">
        <v>29</v>
      </c>
      <c r="G426" s="28" t="s">
        <v>30</v>
      </c>
      <c r="H426" s="23" t="str">
        <f>HYPERLINK("https://innovativeincomeinvestor.com/security/midcap-financial-investment-corporation-8-00-notes-due-2028/","MFICL")</f>
        <v>MFICL</v>
      </c>
      <c r="I426" s="47">
        <v>0.08</v>
      </c>
      <c r="J426" s="150">
        <f ca="1">IFERROR(__xludf.DUMMYFUNCTION("importxml(""https://bigcharts.marketwatch.com/quickchart/quickchart.asp?symb=mficl&amp;insttype=Stock"",""/html/body/div[1]/div[2]/table/tbody/tr/td[1]/table/tbody/tr[3]/td[1]/div"")"),25.5)</f>
        <v>25.5</v>
      </c>
      <c r="K426" s="48" t="str">
        <f ca="1">IFERROR(__xludf.DUMMYFUNCTION("googlefinance(H426,""change"")"),"#N/A")</f>
        <v>#N/A</v>
      </c>
      <c r="L426" s="27">
        <f t="shared" ca="1" si="234"/>
        <v>7.8431372549019607E-2</v>
      </c>
      <c r="M426" s="27">
        <f t="shared" ca="1" si="235"/>
        <v>-1.2251416953117301E-2</v>
      </c>
      <c r="N426" s="28" t="s">
        <v>31</v>
      </c>
      <c r="O426" s="28" t="s">
        <v>32</v>
      </c>
      <c r="P426" s="28" t="s">
        <v>32</v>
      </c>
      <c r="Q426" s="29">
        <v>0.5</v>
      </c>
      <c r="R426" s="64">
        <v>46006</v>
      </c>
      <c r="S426" s="61">
        <v>47102</v>
      </c>
      <c r="T426" s="50" t="s">
        <v>52</v>
      </c>
      <c r="U426" s="16">
        <f t="shared" ca="1" si="223"/>
        <v>0.43287671232876712</v>
      </c>
      <c r="V426" s="11" t="str">
        <v>All</v>
      </c>
      <c r="X426">
        <f t="shared" ca="1" si="212"/>
        <v>5.9253881083797352E-2</v>
      </c>
      <c r="Z426" s="17">
        <f t="shared" ca="1" si="213"/>
        <v>46213</v>
      </c>
      <c r="AG426" s="33">
        <f t="shared" ca="1" si="214"/>
        <v>6.9205858077206542E-2</v>
      </c>
      <c r="AH426">
        <f t="shared" ca="1" si="215"/>
        <v>7.5161674122056113E-2</v>
      </c>
      <c r="AI426">
        <f t="shared" ca="1" si="216"/>
        <v>7.6282932377887816E-2</v>
      </c>
      <c r="AJ426">
        <f t="shared" ca="1" si="217"/>
        <v>7.7110792047798915E-2</v>
      </c>
      <c r="AK426">
        <f t="shared" ca="1" si="218"/>
        <v>7.8015189423967526E-2</v>
      </c>
    </row>
    <row r="427" spans="1:37" ht="17.25" customHeight="1">
      <c r="A427" s="19"/>
      <c r="B427" s="45" t="s">
        <v>371</v>
      </c>
      <c r="C427" s="28" t="s">
        <v>27</v>
      </c>
      <c r="D427" s="28" t="s">
        <v>35</v>
      </c>
      <c r="E427" s="28" t="s">
        <v>110</v>
      </c>
      <c r="F427" s="36" t="s">
        <v>61</v>
      </c>
      <c r="G427" s="28" t="s">
        <v>38</v>
      </c>
      <c r="H427" s="23" t="str">
        <f>HYPERLINK("https://innovativeincomeinvestor.com/security/midland-states-bancorp-inc-7-75-fixed-rate-reset-non-cumulative-perpetual-preferred-stock-series-a/","MSBIP")</f>
        <v>MSBIP</v>
      </c>
      <c r="I427" s="47">
        <v>7.7499999999999999E-2</v>
      </c>
      <c r="J427" s="65">
        <f ca="1">IFERROR(__xludf.DUMMYFUNCTION("GoogleFinance(H427)"),22.75)</f>
        <v>22.75</v>
      </c>
      <c r="K427" s="48">
        <f ca="1">IFERROR(__xludf.DUMMYFUNCTION("googlefinance(H427,""change"")"),0.05)</f>
        <v>0.05</v>
      </c>
      <c r="L427" s="27">
        <f t="shared" ca="1" si="234"/>
        <v>8.4395604395604396E-2</v>
      </c>
      <c r="M427" s="27">
        <f t="shared" ca="1" si="235"/>
        <v>0.22820698220060526</v>
      </c>
      <c r="N427" s="28" t="s">
        <v>31</v>
      </c>
      <c r="O427" s="28" t="s">
        <v>32</v>
      </c>
      <c r="P427" s="28" t="s">
        <v>32</v>
      </c>
      <c r="Q427" s="29">
        <v>0.48</v>
      </c>
      <c r="R427" s="64">
        <v>46660</v>
      </c>
      <c r="S427" s="54" t="s">
        <v>41</v>
      </c>
      <c r="T427" s="50" t="s">
        <v>56</v>
      </c>
      <c r="U427" s="16">
        <f t="shared" ca="1" si="223"/>
        <v>2.2246575342465755</v>
      </c>
      <c r="V427" s="11" t="str">
        <v>All</v>
      </c>
      <c r="X427">
        <f t="shared" ca="1" si="212"/>
        <v>0.17771354055696267</v>
      </c>
      <c r="Z427" s="17">
        <f t="shared" ca="1" si="213"/>
        <v>46213</v>
      </c>
      <c r="AG427" s="33">
        <f t="shared" ca="1" si="214"/>
        <v>0.12928783866229629</v>
      </c>
      <c r="AH427">
        <f t="shared" ca="1" si="215"/>
        <v>0.10063696529122562</v>
      </c>
      <c r="AI427">
        <f t="shared" ca="1" si="216"/>
        <v>9.5273545965423978E-2</v>
      </c>
      <c r="AJ427">
        <f t="shared" ca="1" si="217"/>
        <v>9.1326298483749666E-2</v>
      </c>
      <c r="AK427">
        <f t="shared" ca="1" si="218"/>
        <v>8.7039144574333038E-2</v>
      </c>
    </row>
    <row r="428" spans="1:37" ht="17.25" customHeight="1">
      <c r="A428" s="68"/>
      <c r="B428" s="69" t="s">
        <v>372</v>
      </c>
      <c r="C428" s="28" t="s">
        <v>27</v>
      </c>
      <c r="D428" s="28" t="s">
        <v>35</v>
      </c>
      <c r="E428" s="28" t="s">
        <v>117</v>
      </c>
      <c r="F428" s="36" t="s">
        <v>29</v>
      </c>
      <c r="G428" s="28" t="s">
        <v>38</v>
      </c>
      <c r="H428" s="23" t="str">
        <f>HYPERLINK("https://innovativeincomeinvestor.com/security/morgan-stanley-4-875-non-cumulative-preferred-stock-series-l/","MS-L")</f>
        <v>MS-L</v>
      </c>
      <c r="I428" s="47">
        <v>4.8750000000000002E-2</v>
      </c>
      <c r="J428" s="198">
        <f ca="1">IFERROR(__xludf.DUMMYFUNCTION("GoogleFinance(H428)"),20.03)</f>
        <v>20.03</v>
      </c>
      <c r="K428" s="115">
        <f ca="1">IFERROR(__xludf.DUMMYFUNCTION("googlefinance(H428,""change"")"),-0.13)</f>
        <v>-0.13</v>
      </c>
      <c r="L428" s="97">
        <f t="shared" ca="1" si="234"/>
        <v>6.0846230654018965E-2</v>
      </c>
      <c r="M428" s="27">
        <f t="shared" ca="1" si="235"/>
        <v>-0.42112485190317328</v>
      </c>
      <c r="N428" s="28" t="s">
        <v>39</v>
      </c>
      <c r="O428" s="28" t="s">
        <v>55</v>
      </c>
      <c r="P428" s="28" t="s">
        <v>64</v>
      </c>
      <c r="Q428" s="91">
        <f>(I428*25)/4</f>
        <v>0.3046875</v>
      </c>
      <c r="R428" s="92">
        <v>45662</v>
      </c>
      <c r="S428" s="96" t="s">
        <v>41</v>
      </c>
      <c r="T428" s="93" t="s">
        <v>60</v>
      </c>
      <c r="U428" s="16">
        <f t="shared" ca="1" si="223"/>
        <v>-0.50958904109589043</v>
      </c>
      <c r="V428" s="11" t="str">
        <v>All</v>
      </c>
      <c r="X428">
        <f t="shared" ca="1" si="212"/>
        <v>0.28405257890967767</v>
      </c>
      <c r="Z428" s="17">
        <f t="shared" ca="1" si="213"/>
        <v>46213</v>
      </c>
      <c r="AG428" s="33">
        <f t="shared" ca="1" si="214"/>
        <v>0.16781390865184675</v>
      </c>
      <c r="AH428">
        <f t="shared" ca="1" si="215"/>
        <v>9.9751357024924561E-2</v>
      </c>
      <c r="AI428">
        <f t="shared" ca="1" si="216"/>
        <v>8.698889512987118E-2</v>
      </c>
      <c r="AJ428">
        <f t="shared" ca="1" si="217"/>
        <v>7.7513403363248204E-2</v>
      </c>
      <c r="AK428">
        <f t="shared" ca="1" si="218"/>
        <v>6.6850502611887408E-2</v>
      </c>
    </row>
    <row r="429" spans="1:37" ht="17.25" customHeight="1">
      <c r="A429" s="68"/>
      <c r="B429" s="69" t="s">
        <v>372</v>
      </c>
      <c r="C429" s="28" t="s">
        <v>27</v>
      </c>
      <c r="D429" s="28" t="s">
        <v>35</v>
      </c>
      <c r="E429" s="28" t="s">
        <v>117</v>
      </c>
      <c r="F429" s="36" t="s">
        <v>29</v>
      </c>
      <c r="G429" s="28" t="s">
        <v>38</v>
      </c>
      <c r="H429" s="23" t="str">
        <f>HYPERLINK("https://innovativeincomeinvestor.com/security/morgan-stanley-4-25-non-cumulative-preferred-stock-series-o/","MS-O")</f>
        <v>MS-O</v>
      </c>
      <c r="I429" s="47">
        <v>4.2500000000000003E-2</v>
      </c>
      <c r="J429" s="65">
        <f ca="1">IFERROR(__xludf.DUMMYFUNCTION("GoogleFinance(H429)"),17.36)</f>
        <v>17.36</v>
      </c>
      <c r="K429" s="48">
        <f ca="1">IFERROR(__xludf.DUMMYFUNCTION("googlefinance(H429,""change"")"),-0.24)</f>
        <v>-0.24</v>
      </c>
      <c r="L429" s="27">
        <f t="shared" ca="1" si="234"/>
        <v>6.2211981566820285E-2</v>
      </c>
      <c r="M429" s="27">
        <f t="shared" ca="1" si="235"/>
        <v>0.29576881724228388</v>
      </c>
      <c r="N429" s="28" t="s">
        <v>39</v>
      </c>
      <c r="O429" s="28" t="s">
        <v>55</v>
      </c>
      <c r="P429" s="28" t="s">
        <v>64</v>
      </c>
      <c r="Q429" s="29">
        <v>0.27</v>
      </c>
      <c r="R429" s="64">
        <v>46402</v>
      </c>
      <c r="S429" s="54" t="s">
        <v>41</v>
      </c>
      <c r="T429" s="50" t="s">
        <v>60</v>
      </c>
      <c r="U429" s="16">
        <f t="shared" ca="1" si="223"/>
        <v>1.5178082191780822</v>
      </c>
      <c r="V429" s="11" t="str">
        <v>All</v>
      </c>
      <c r="X429">
        <f t="shared" ca="1" si="212"/>
        <v>0.43558321859603427</v>
      </c>
      <c r="Z429" s="17">
        <f t="shared" ca="1" si="213"/>
        <v>46213</v>
      </c>
      <c r="AG429" s="33">
        <f t="shared" ca="1" si="214"/>
        <v>0.23919323040925666</v>
      </c>
      <c r="AH429">
        <f t="shared" ca="1" si="215"/>
        <v>0.12580352425065025</v>
      </c>
      <c r="AI429">
        <f t="shared" ca="1" si="216"/>
        <v>0.10466234206269746</v>
      </c>
      <c r="AJ429">
        <f t="shared" ca="1" si="217"/>
        <v>8.8979323314968009E-2</v>
      </c>
      <c r="AK429">
        <f t="shared" ca="1" si="218"/>
        <v>7.1305084428433183E-2</v>
      </c>
    </row>
    <row r="430" spans="1:37" ht="17.25" customHeight="1">
      <c r="A430" s="68"/>
      <c r="B430" s="69" t="s">
        <v>372</v>
      </c>
      <c r="C430" s="28" t="s">
        <v>27</v>
      </c>
      <c r="D430" s="28" t="s">
        <v>35</v>
      </c>
      <c r="E430" s="28" t="s">
        <v>117</v>
      </c>
      <c r="F430" s="36" t="s">
        <v>29</v>
      </c>
      <c r="G430" s="28" t="s">
        <v>38</v>
      </c>
      <c r="H430" s="83" t="str">
        <f>HYPERLINK("https://innovativeincomeinvestor.com/security/morgan-stanley-6-50-non-cumulative-preferred-stock-series-p/","MS-P")</f>
        <v>MS-P</v>
      </c>
      <c r="I430" s="47">
        <v>6.5000000000000002E-2</v>
      </c>
      <c r="J430" s="114">
        <f ca="1">IFERROR(__xludf.DUMMYFUNCTION("GoogleFinance(H430)"),25.82)</f>
        <v>25.82</v>
      </c>
      <c r="K430" s="57">
        <f ca="1">IFERROR(__xludf.DUMMYFUNCTION("googlefinance(H430,""change"")"),-0.13)</f>
        <v>-0.13</v>
      </c>
      <c r="L430" s="58">
        <f t="shared" ca="1" si="234"/>
        <v>6.2943454686289702E-2</v>
      </c>
      <c r="M430" s="58">
        <f t="shared" ca="1" si="235"/>
        <v>0.1281379272171719</v>
      </c>
      <c r="N430" s="59" t="s">
        <v>39</v>
      </c>
      <c r="O430" s="28" t="s">
        <v>55</v>
      </c>
      <c r="P430" s="59" t="s">
        <v>64</v>
      </c>
      <c r="Q430" s="60">
        <v>0.40629999999999999</v>
      </c>
      <c r="R430" s="49">
        <v>46675</v>
      </c>
      <c r="S430" s="114" t="s">
        <v>41</v>
      </c>
      <c r="T430" s="183" t="s">
        <v>60</v>
      </c>
      <c r="U430" s="16">
        <f t="shared" ca="1" si="223"/>
        <v>2.2657534246575342</v>
      </c>
      <c r="V430" s="11" t="str">
        <v>All</v>
      </c>
      <c r="X430">
        <f t="shared" ca="1" si="212"/>
        <v>3.1550670479732361E-2</v>
      </c>
      <c r="Z430" s="17">
        <f t="shared" ca="1" si="213"/>
        <v>46213</v>
      </c>
      <c r="AG430" s="33">
        <f t="shared" ca="1" si="214"/>
        <v>4.7707620894935528E-2</v>
      </c>
      <c r="AH430">
        <f t="shared" ca="1" si="215"/>
        <v>5.7403037031112283E-2</v>
      </c>
      <c r="AI430">
        <f t="shared" ca="1" si="216"/>
        <v>5.9237565865408501E-2</v>
      </c>
      <c r="AJ430">
        <f t="shared" ca="1" si="217"/>
        <v>6.0600204761981226E-2</v>
      </c>
      <c r="AK430">
        <f t="shared" ca="1" si="218"/>
        <v>6.2122666646118964E-2</v>
      </c>
    </row>
    <row r="431" spans="1:37" ht="17.25" customHeight="1">
      <c r="A431" s="68"/>
      <c r="B431" s="69" t="s">
        <v>372</v>
      </c>
      <c r="C431" s="28" t="s">
        <v>27</v>
      </c>
      <c r="D431" s="28" t="s">
        <v>35</v>
      </c>
      <c r="E431" s="28" t="s">
        <v>117</v>
      </c>
      <c r="F431" s="36" t="s">
        <v>29</v>
      </c>
      <c r="G431" s="28" t="s">
        <v>38</v>
      </c>
      <c r="H431" s="83" t="str">
        <f>HYPERLINK("https://innovativeincomeinvestor.com/security/morgan-stanley-6-625-non-cumulaive-preferred-stock-series-q/","MS-Q")</f>
        <v>MS-Q</v>
      </c>
      <c r="I431" s="47">
        <v>6.6250000000000003E-2</v>
      </c>
      <c r="J431" s="126">
        <f ca="1">IFERROR(__xludf.DUMMYFUNCTION("GoogleFinance(H431)"),26.16)</f>
        <v>26.16</v>
      </c>
      <c r="K431" s="57">
        <f ca="1">IFERROR(__xludf.DUMMYFUNCTION("googlefinance(H431,""change"")"),-0.09)</f>
        <v>-0.09</v>
      </c>
      <c r="L431" s="58">
        <f t="shared" ca="1" si="234"/>
        <v>6.3455657492354739E-2</v>
      </c>
      <c r="M431" s="58">
        <f t="shared" ca="1" si="235"/>
        <v>0.25998969278012229</v>
      </c>
      <c r="N431" s="28" t="s">
        <v>39</v>
      </c>
      <c r="O431" s="28" t="s">
        <v>55</v>
      </c>
      <c r="P431" s="28" t="s">
        <v>64</v>
      </c>
      <c r="Q431" s="29">
        <v>0.41499999999999998</v>
      </c>
      <c r="R431" s="64">
        <v>47406</v>
      </c>
      <c r="S431" s="28" t="s">
        <v>41</v>
      </c>
      <c r="T431" s="62" t="s">
        <v>60</v>
      </c>
      <c r="U431" s="16">
        <f t="shared" ca="1" si="223"/>
        <v>4.2684931506849315</v>
      </c>
      <c r="V431" s="11" t="str">
        <v>All</v>
      </c>
      <c r="X431">
        <f t="shared" ca="1" si="212"/>
        <v>1.9289265768546126E-2</v>
      </c>
      <c r="Z431" s="17">
        <f t="shared" ca="1" si="213"/>
        <v>46213</v>
      </c>
      <c r="AG431" s="33">
        <f t="shared" ca="1" si="214"/>
        <v>4.1941993867167911E-2</v>
      </c>
      <c r="AH431">
        <f t="shared" ca="1" si="215"/>
        <v>5.5552266603543059E-2</v>
      </c>
      <c r="AI431">
        <f t="shared" ca="1" si="216"/>
        <v>5.8128560951798948E-2</v>
      </c>
      <c r="AJ431">
        <f t="shared" ca="1" si="217"/>
        <v>6.0041863787469993E-2</v>
      </c>
      <c r="AK431">
        <f t="shared" ca="1" si="218"/>
        <v>6.2178050934589051E-2</v>
      </c>
    </row>
    <row r="432" spans="1:37" ht="17.25" customHeight="1">
      <c r="A432" s="19"/>
      <c r="B432" s="45" t="s">
        <v>372</v>
      </c>
      <c r="C432" s="36" t="s">
        <v>27</v>
      </c>
      <c r="D432" s="36" t="s">
        <v>35</v>
      </c>
      <c r="E432" s="28" t="s">
        <v>117</v>
      </c>
      <c r="F432" s="28" t="s">
        <v>46</v>
      </c>
      <c r="G432" s="28" t="s">
        <v>38</v>
      </c>
      <c r="H432" s="66" t="str">
        <f>HYPERLINK("https://innovativeincomeinvestor.com/security/morgan-stanley-7-125-dep-shares-fixedfloating-non-cumul-preferred-stock-ser-e/","MS-E")</f>
        <v>MS-E</v>
      </c>
      <c r="I432" s="47">
        <v>7.1249999999999994E-2</v>
      </c>
      <c r="J432" s="25">
        <f ca="1">IFERROR(__xludf.DUMMYFUNCTION("GoogleFinance(H432)"),25.42)</f>
        <v>25.42</v>
      </c>
      <c r="K432" s="48">
        <f ca="1">IFERROR(__xludf.DUMMYFUNCTION("googlefinance(H432,""change"")"),-0.01)</f>
        <v>-0.01</v>
      </c>
      <c r="L432" s="52" t="s">
        <v>47</v>
      </c>
      <c r="M432" s="52" t="s">
        <v>47</v>
      </c>
      <c r="N432" s="28" t="s">
        <v>39</v>
      </c>
      <c r="O432" s="28" t="s">
        <v>55</v>
      </c>
      <c r="P432" s="28" t="s">
        <v>64</v>
      </c>
      <c r="Q432" s="52" t="s">
        <v>47</v>
      </c>
      <c r="R432" s="64">
        <v>45214</v>
      </c>
      <c r="S432" s="54" t="s">
        <v>41</v>
      </c>
      <c r="T432" s="50" t="s">
        <v>60</v>
      </c>
      <c r="U432" s="16">
        <f t="shared" ca="1" si="223"/>
        <v>-1.736986301369863</v>
      </c>
      <c r="V432" s="11" t="str">
        <v>All</v>
      </c>
      <c r="X432">
        <f t="shared" ca="1" si="212"/>
        <v>5.3880470362360273E-2</v>
      </c>
      <c r="Z432" s="17">
        <f t="shared" ca="1" si="213"/>
        <v>46213</v>
      </c>
      <c r="AG432" s="33">
        <f t="shared" ca="1" si="214"/>
        <v>6.2251130783217187E-2</v>
      </c>
      <c r="AH432">
        <f t="shared" ca="1" si="215"/>
        <v>6.7263215766942691E-2</v>
      </c>
      <c r="AI432">
        <f t="shared" ca="1" si="216"/>
        <v>6.8209118808341282E-2</v>
      </c>
      <c r="AJ432">
        <f t="shared" ca="1" si="217"/>
        <v>6.8909954513568294E-2</v>
      </c>
      <c r="AK432">
        <f t="shared" ca="1" si="218"/>
        <v>6.968539817718987E-2</v>
      </c>
    </row>
    <row r="433" spans="1:37" ht="17.25" customHeight="1">
      <c r="A433" s="19"/>
      <c r="B433" s="45" t="s">
        <v>372</v>
      </c>
      <c r="C433" s="36" t="s">
        <v>27</v>
      </c>
      <c r="D433" s="36" t="s">
        <v>35</v>
      </c>
      <c r="E433" s="28" t="s">
        <v>117</v>
      </c>
      <c r="F433" s="28" t="s">
        <v>46</v>
      </c>
      <c r="G433" s="28" t="s">
        <v>38</v>
      </c>
      <c r="H433" s="66" t="str">
        <f>HYPERLINK("https://innovativeincomeinvestor.com/security/morgan-stanley-6-875-dep-shares-fixedfloating-non-cumul-preferred-stock-ser-f/","MS-F")</f>
        <v>MS-F</v>
      </c>
      <c r="I433" s="47">
        <v>6.8750000000000006E-2</v>
      </c>
      <c r="J433" s="65">
        <f ca="1">IFERROR(__xludf.DUMMYFUNCTION("GoogleFinance(H433)"),25.18)</f>
        <v>25.18</v>
      </c>
      <c r="K433" s="48">
        <f ca="1">IFERROR(__xludf.DUMMYFUNCTION("googlefinance(H433,""change"")"),0.04)</f>
        <v>0.04</v>
      </c>
      <c r="L433" s="52" t="s">
        <v>47</v>
      </c>
      <c r="M433" s="52" t="s">
        <v>47</v>
      </c>
      <c r="N433" s="28" t="s">
        <v>39</v>
      </c>
      <c r="O433" s="28" t="s">
        <v>55</v>
      </c>
      <c r="P433" s="28" t="s">
        <v>64</v>
      </c>
      <c r="Q433" s="52" t="s">
        <v>47</v>
      </c>
      <c r="R433" s="64">
        <v>45306</v>
      </c>
      <c r="S433" s="54" t="s">
        <v>41</v>
      </c>
      <c r="T433" s="50" t="s">
        <v>60</v>
      </c>
      <c r="U433" s="16">
        <f t="shared" ca="1" si="223"/>
        <v>-1.484931506849315</v>
      </c>
      <c r="V433" s="11" t="str">
        <v>All</v>
      </c>
      <c r="X433">
        <f t="shared" ca="1" si="212"/>
        <v>6.1272179557605028E-2</v>
      </c>
      <c r="Z433" s="17">
        <f t="shared" ca="1" si="213"/>
        <v>46213</v>
      </c>
      <c r="AG433" s="33">
        <f t="shared" ca="1" si="214"/>
        <v>6.4882295263922113E-2</v>
      </c>
      <c r="AH433">
        <f t="shared" ca="1" si="215"/>
        <v>6.7042095735450252E-2</v>
      </c>
      <c r="AI433">
        <f t="shared" ca="1" si="216"/>
        <v>6.7449710990737197E-2</v>
      </c>
      <c r="AJ433">
        <f t="shared" ca="1" si="217"/>
        <v>6.7752081645660239E-2</v>
      </c>
      <c r="AK433">
        <f t="shared" ca="1" si="218"/>
        <v>6.8087359181719473E-2</v>
      </c>
    </row>
    <row r="434" spans="1:37" ht="17.25" customHeight="1">
      <c r="A434" s="19"/>
      <c r="B434" s="45" t="s">
        <v>372</v>
      </c>
      <c r="C434" s="36" t="s">
        <v>27</v>
      </c>
      <c r="D434" s="36" t="s">
        <v>35</v>
      </c>
      <c r="E434" s="28" t="s">
        <v>117</v>
      </c>
      <c r="F434" s="28" t="s">
        <v>46</v>
      </c>
      <c r="G434" s="28" t="s">
        <v>38</v>
      </c>
      <c r="H434" s="51" t="str">
        <f>HYPERLINK("https://innovativeincomeinvestor.com/security/morgan-stanley-6-375-dep-shares-fixedfloat-non-cumul-preferred-stock-series-i/","MS-I")</f>
        <v>MS-I</v>
      </c>
      <c r="I434" s="47">
        <v>6.3750000000000001E-2</v>
      </c>
      <c r="J434" s="150">
        <f ca="1">IFERROR(__xludf.DUMMYFUNCTION("importxml(""https://bigcharts.marketwatch.com/quickchart/quickchart.asp?symb=msPRi&amp;insttype=Stock"",""/html/body/div[1]/div[2]/table/tbody/tr/td[1]/table/tbody/tr[3]/td[1]/div"")"),25.0008)</f>
        <v>25.000800000000002</v>
      </c>
      <c r="K434" s="48">
        <f ca="1">IFERROR(__xludf.DUMMYFUNCTION("googlefinance(H434,""change"")"),-0.06)</f>
        <v>-0.06</v>
      </c>
      <c r="L434" s="52" t="s">
        <v>47</v>
      </c>
      <c r="M434" s="52" t="s">
        <v>47</v>
      </c>
      <c r="N434" s="28" t="s">
        <v>39</v>
      </c>
      <c r="O434" s="28" t="s">
        <v>55</v>
      </c>
      <c r="P434" s="28" t="s">
        <v>64</v>
      </c>
      <c r="Q434" s="52" t="s">
        <v>47</v>
      </c>
      <c r="R434" s="64">
        <v>45580</v>
      </c>
      <c r="S434" s="54" t="s">
        <v>41</v>
      </c>
      <c r="T434" s="50" t="s">
        <v>60</v>
      </c>
      <c r="U434" s="16">
        <f t="shared" ca="1" si="223"/>
        <v>-0.73424657534246573</v>
      </c>
      <c r="V434" s="11" t="str">
        <v>All</v>
      </c>
      <c r="X434">
        <f t="shared" ca="1" si="212"/>
        <v>6.3716715596803336E-2</v>
      </c>
      <c r="Z434" s="17">
        <f t="shared" ca="1" si="213"/>
        <v>46213</v>
      </c>
      <c r="AG434" s="33">
        <f t="shared" ca="1" si="214"/>
        <v>6.3732831658008651E-2</v>
      </c>
      <c r="AH434">
        <f t="shared" ca="1" si="215"/>
        <v>6.3742147241479502E-2</v>
      </c>
      <c r="AI434">
        <f t="shared" ca="1" si="216"/>
        <v>6.3743806806470391E-2</v>
      </c>
      <c r="AJ434">
        <f t="shared" ca="1" si="217"/>
        <v>6.3745274579578418E-2</v>
      </c>
      <c r="AK434">
        <f t="shared" ca="1" si="218"/>
        <v>6.3746570878230921E-2</v>
      </c>
    </row>
    <row r="435" spans="1:37" ht="17.25" customHeight="1">
      <c r="A435" s="19"/>
      <c r="B435" s="45" t="s">
        <v>372</v>
      </c>
      <c r="C435" s="36" t="s">
        <v>27</v>
      </c>
      <c r="D435" s="36" t="s">
        <v>35</v>
      </c>
      <c r="E435" s="28" t="s">
        <v>117</v>
      </c>
      <c r="F435" s="28" t="s">
        <v>46</v>
      </c>
      <c r="G435" s="28" t="s">
        <v>38</v>
      </c>
      <c r="H435" s="66" t="str">
        <f>HYPERLINK("https://innovativeincomeinvestor.com/security/morgan-stanley-5-85/","MS-K")</f>
        <v>MS-K</v>
      </c>
      <c r="I435" s="47">
        <v>5.8500000000000003E-2</v>
      </c>
      <c r="J435" s="65">
        <f ca="1">IFERROR(__xludf.DUMMYFUNCTION("GoogleFinance(H435)"),23.94)</f>
        <v>23.94</v>
      </c>
      <c r="K435" s="48">
        <f ca="1">IFERROR(__xludf.DUMMYFUNCTION("googlefinance(H435,""change"")"),-0.12)</f>
        <v>-0.12</v>
      </c>
      <c r="L435" s="27">
        <f ca="1">(Q435*4)/J435</f>
        <v>6.1090225563909778E-2</v>
      </c>
      <c r="M435" s="27">
        <f t="array" aca="1" ref="M435" ca="1">L435*U435+(25-J435)/25/U435</f>
        <v>0.13181764566269752</v>
      </c>
      <c r="N435" s="28" t="s">
        <v>39</v>
      </c>
      <c r="O435" s="28" t="s">
        <v>55</v>
      </c>
      <c r="P435" s="28" t="s">
        <v>64</v>
      </c>
      <c r="Q435" s="29">
        <f>(I435*25)/4</f>
        <v>0.36562500000000003</v>
      </c>
      <c r="R435" s="64">
        <v>46492</v>
      </c>
      <c r="S435" s="54" t="s">
        <v>41</v>
      </c>
      <c r="T435" s="50" t="s">
        <v>60</v>
      </c>
      <c r="U435" s="16">
        <f t="shared" ca="1" si="223"/>
        <v>1.7643835616438357</v>
      </c>
      <c r="V435" s="11" t="str">
        <v>All</v>
      </c>
      <c r="X435">
        <f t="shared" ca="1" si="212"/>
        <v>0.10368274219838475</v>
      </c>
      <c r="Z435" s="17">
        <f t="shared" ca="1" si="213"/>
        <v>46213</v>
      </c>
      <c r="AG435" s="33">
        <f t="shared" ca="1" si="214"/>
        <v>8.1694347905555076E-2</v>
      </c>
      <c r="AH435">
        <f t="shared" ca="1" si="215"/>
        <v>6.8593324933784353E-2</v>
      </c>
      <c r="AI435">
        <f t="shared" ca="1" si="216"/>
        <v>6.6119983237496682E-2</v>
      </c>
      <c r="AJ435">
        <f t="shared" ca="1" si="217"/>
        <v>6.4282595648561855E-2</v>
      </c>
      <c r="AK435">
        <f t="shared" ca="1" si="218"/>
        <v>6.2221145387149034E-2</v>
      </c>
    </row>
    <row r="436" spans="1:37" ht="17.25" customHeight="1">
      <c r="A436" s="19"/>
      <c r="B436" s="45" t="s">
        <v>372</v>
      </c>
      <c r="C436" s="36" t="s">
        <v>27</v>
      </c>
      <c r="D436" s="36" t="s">
        <v>35</v>
      </c>
      <c r="E436" s="28" t="s">
        <v>117</v>
      </c>
      <c r="F436" s="28" t="s">
        <v>138</v>
      </c>
      <c r="G436" s="28" t="s">
        <v>38</v>
      </c>
      <c r="H436" s="66" t="str">
        <f>HYPERLINK("https://innovativeincomeinvestor.com/security/morgan-stanley-floating-rate-dep-shares-series-a-non-cumul-preferred-stock/","MS-A")</f>
        <v>MS-A</v>
      </c>
      <c r="I436" s="47">
        <v>0.04</v>
      </c>
      <c r="J436" s="65">
        <f ca="1">IFERROR(__xludf.DUMMYFUNCTION("GoogleFinance(H436)"),21.58)</f>
        <v>21.58</v>
      </c>
      <c r="K436" s="48">
        <f ca="1">IFERROR(__xludf.DUMMYFUNCTION("googlefinance(H436,""change"")"),-0.03)</f>
        <v>-0.03</v>
      </c>
      <c r="L436" s="52" t="s">
        <v>47</v>
      </c>
      <c r="M436" s="52" t="s">
        <v>47</v>
      </c>
      <c r="N436" s="28" t="s">
        <v>39</v>
      </c>
      <c r="O436" s="28" t="s">
        <v>55</v>
      </c>
      <c r="P436" s="28" t="s">
        <v>64</v>
      </c>
      <c r="Q436" s="52" t="s">
        <v>47</v>
      </c>
      <c r="R436" s="64">
        <v>40739</v>
      </c>
      <c r="S436" s="54" t="s">
        <v>41</v>
      </c>
      <c r="T436" s="50" t="s">
        <v>60</v>
      </c>
      <c r="U436" s="16">
        <f t="shared" ca="1" si="223"/>
        <v>-13.997260273972604</v>
      </c>
      <c r="V436" s="11" t="str">
        <v>All</v>
      </c>
      <c r="X436">
        <f t="shared" ca="1" si="212"/>
        <v>0.19375786573893347</v>
      </c>
      <c r="Z436" s="17">
        <f t="shared" ca="1" si="213"/>
        <v>46213</v>
      </c>
      <c r="AG436" s="33">
        <f t="shared" ca="1" si="214"/>
        <v>0.11776882028635165</v>
      </c>
      <c r="AH436">
        <f t="shared" ca="1" si="215"/>
        <v>7.2910231848210216E-2</v>
      </c>
      <c r="AI436">
        <f t="shared" ca="1" si="216"/>
        <v>6.4451172803115783E-2</v>
      </c>
      <c r="AJ436">
        <f t="shared" ca="1" si="217"/>
        <v>5.8143999547199399E-2</v>
      </c>
      <c r="AK436">
        <f t="shared" ca="1" si="218"/>
        <v>5.0950987764786772E-2</v>
      </c>
    </row>
    <row r="437" spans="1:37" ht="17.25" customHeight="1">
      <c r="A437" s="19"/>
      <c r="B437" s="45" t="s">
        <v>373</v>
      </c>
      <c r="C437" s="28" t="s">
        <v>35</v>
      </c>
      <c r="D437" s="28" t="s">
        <v>27</v>
      </c>
      <c r="E437" s="28" t="s">
        <v>63</v>
      </c>
      <c r="F437" s="36" t="s">
        <v>29</v>
      </c>
      <c r="G437" s="28" t="s">
        <v>38</v>
      </c>
      <c r="H437" s="23" t="str">
        <f>HYPERLINK("https://innovativeincomeinvestor.com/security/healthcare-trust-inc-7-375-series-a-cumulative-redeemable-perpetual-preferred-stock/","NHPAP")</f>
        <v>NHPAP</v>
      </c>
      <c r="I437" s="47">
        <v>7.3749999999999996E-2</v>
      </c>
      <c r="J437" s="26">
        <f ca="1">IFERROR(__xludf.DUMMYFUNCTION("GOOGLEFINANCE(H437)"),15.16)</f>
        <v>15.16</v>
      </c>
      <c r="K437" s="26" t="s">
        <v>49</v>
      </c>
      <c r="L437" s="27">
        <f t="shared" ref="L437:L445" ca="1" si="236">(Q437*4)/J437</f>
        <v>0.12160949868073878</v>
      </c>
      <c r="M437" s="27">
        <f ca="1">(25-J437)/25</f>
        <v>0.39360000000000001</v>
      </c>
      <c r="N437" s="28" t="s">
        <v>31</v>
      </c>
      <c r="O437" s="27" t="s">
        <v>32</v>
      </c>
      <c r="P437" s="28" t="s">
        <v>32</v>
      </c>
      <c r="Q437" s="26">
        <v>0.46089999999999998</v>
      </c>
      <c r="R437" s="211">
        <v>45637</v>
      </c>
      <c r="S437" s="155" t="s">
        <v>41</v>
      </c>
      <c r="T437" s="154" t="s">
        <v>60</v>
      </c>
      <c r="U437" s="16">
        <f t="shared" ca="1" si="223"/>
        <v>-0.57808219178082187</v>
      </c>
      <c r="V437" s="11" t="str">
        <v>All</v>
      </c>
      <c r="X437">
        <f t="shared" ca="1" si="212"/>
        <v>0.6349971221798697</v>
      </c>
      <c r="Z437" s="17">
        <f t="shared" ca="1" si="213"/>
        <v>46213</v>
      </c>
      <c r="AG437" s="33">
        <f t="shared" ca="1" si="214"/>
        <v>0.35755885714418634</v>
      </c>
      <c r="AH437">
        <f t="shared" ca="1" si="215"/>
        <v>0.20016908171987377</v>
      </c>
      <c r="AI437">
        <f t="shared" ca="1" si="216"/>
        <v>0.17140355250888348</v>
      </c>
      <c r="AJ437">
        <f t="shared" ca="1" si="217"/>
        <v>0.15053134060266901</v>
      </c>
      <c r="AK437">
        <f t="shared" ca="1" si="218"/>
        <v>0.12882130587950022</v>
      </c>
    </row>
    <row r="438" spans="1:37" ht="17.25" customHeight="1">
      <c r="A438" s="19"/>
      <c r="B438" s="45" t="s">
        <v>373</v>
      </c>
      <c r="C438" s="28" t="s">
        <v>35</v>
      </c>
      <c r="D438" s="28" t="s">
        <v>27</v>
      </c>
      <c r="E438" s="28" t="s">
        <v>63</v>
      </c>
      <c r="F438" s="36" t="s">
        <v>29</v>
      </c>
      <c r="G438" s="28" t="s">
        <v>38</v>
      </c>
      <c r="H438" s="23" t="str">
        <f>HYPERLINK("https://innovativeincomeinvestor.com/security/16288/","NHPBP")</f>
        <v>NHPBP</v>
      </c>
      <c r="I438" s="47">
        <v>7.1249999999999994E-2</v>
      </c>
      <c r="J438" s="26">
        <f ca="1">IFERROR(__xludf.DUMMYFUNCTION("GOOGLEFINANCE(H438)"),14.22)</f>
        <v>14.22</v>
      </c>
      <c r="K438" s="26" t="s">
        <v>49</v>
      </c>
      <c r="L438" s="27">
        <f t="shared" ca="1" si="236"/>
        <v>0.12658227848101267</v>
      </c>
      <c r="M438" s="27">
        <f t="shared" ref="M438:M439" ca="1" si="237">L438*U438+(25-J438)/25/U438</f>
        <v>0.5045356242088368</v>
      </c>
      <c r="N438" s="28" t="s">
        <v>31</v>
      </c>
      <c r="O438" s="27" t="s">
        <v>32</v>
      </c>
      <c r="P438" s="28" t="s">
        <v>32</v>
      </c>
      <c r="Q438" s="26">
        <v>0.45</v>
      </c>
      <c r="R438" s="211">
        <v>46301</v>
      </c>
      <c r="S438" s="155" t="s">
        <v>41</v>
      </c>
      <c r="T438" s="154" t="s">
        <v>60</v>
      </c>
      <c r="U438" s="16">
        <f t="shared" ca="1" si="223"/>
        <v>1.2410958904109588</v>
      </c>
      <c r="V438" s="11" t="str">
        <v>All</v>
      </c>
      <c r="X438">
        <f t="shared" ca="1" si="212"/>
        <v>0.70899859189376035</v>
      </c>
      <c r="Z438" s="17">
        <f t="shared" ca="1" si="213"/>
        <v>46213</v>
      </c>
      <c r="AG438" s="33">
        <f t="shared" ca="1" si="214"/>
        <v>0.39228757678442694</v>
      </c>
      <c r="AH438">
        <f t="shared" ca="1" si="215"/>
        <v>0.21376166064313329</v>
      </c>
      <c r="AI438">
        <f t="shared" ca="1" si="216"/>
        <v>0.18123005472248349</v>
      </c>
      <c r="AJ438">
        <f t="shared" ca="1" si="217"/>
        <v>0.15765167343752853</v>
      </c>
      <c r="AK438">
        <f t="shared" ca="1" si="218"/>
        <v>0.13319902307062628</v>
      </c>
    </row>
    <row r="439" spans="1:37" ht="17.25" customHeight="1">
      <c r="A439" s="68"/>
      <c r="B439" s="69" t="s">
        <v>374</v>
      </c>
      <c r="C439" s="28" t="s">
        <v>27</v>
      </c>
      <c r="D439" s="28" t="s">
        <v>27</v>
      </c>
      <c r="E439" s="28" t="s">
        <v>73</v>
      </c>
      <c r="F439" s="36" t="s">
        <v>29</v>
      </c>
      <c r="G439" s="28" t="s">
        <v>30</v>
      </c>
      <c r="H439" s="66" t="str">
        <f>HYPERLINK("https://innovativeincomeinvestor.com/security/national-rural-utilities-5-50-subordinated-notes-due-2064/","NRUC")</f>
        <v>NRUC</v>
      </c>
      <c r="I439" s="47">
        <v>5.5E-2</v>
      </c>
      <c r="J439" s="65">
        <f ca="1">IFERROR(__xludf.DUMMYFUNCTION("GoogleFinance(H439)"),24.13)</f>
        <v>24.13</v>
      </c>
      <c r="K439" s="65">
        <f ca="1">IFERROR(__xludf.DUMMYFUNCTION("googlefinance(H439,""change"")"),-0.12)</f>
        <v>-0.12</v>
      </c>
      <c r="L439" s="27">
        <f t="shared" ca="1" si="236"/>
        <v>5.6983008702859515E-2</v>
      </c>
      <c r="M439" s="27">
        <f t="shared" ca="1" si="237"/>
        <v>-9.5896628676038972E-2</v>
      </c>
      <c r="N439" s="28" t="s">
        <v>39</v>
      </c>
      <c r="O439" s="28" t="s">
        <v>311</v>
      </c>
      <c r="P439" s="28" t="s">
        <v>32</v>
      </c>
      <c r="Q439" s="29">
        <f t="shared" ref="Q439:Q440" si="238">(I439*25)/4</f>
        <v>0.34375</v>
      </c>
      <c r="R439" s="64">
        <v>45427</v>
      </c>
      <c r="S439" s="64">
        <v>60037</v>
      </c>
      <c r="T439" s="62" t="s">
        <v>33</v>
      </c>
      <c r="U439" s="16">
        <f t="shared" ca="1" si="223"/>
        <v>-1.1534246575342466</v>
      </c>
      <c r="V439" s="11" t="str">
        <v>All</v>
      </c>
      <c r="X439">
        <f t="shared" ca="1" si="212"/>
        <v>9.1819738291740283E-2</v>
      </c>
      <c r="Z439" s="17">
        <f t="shared" ca="1" si="213"/>
        <v>46213</v>
      </c>
      <c r="AG439" s="33">
        <f t="shared" ca="1" si="214"/>
        <v>7.3877007662111652E-2</v>
      </c>
      <c r="AH439">
        <f t="shared" ca="1" si="215"/>
        <v>6.3174978074305208E-2</v>
      </c>
      <c r="AI439">
        <f t="shared" ca="1" si="216"/>
        <v>6.1152012089313111E-2</v>
      </c>
      <c r="AJ439">
        <f t="shared" ca="1" si="217"/>
        <v>5.9647162050200708E-2</v>
      </c>
      <c r="AK439">
        <f t="shared" ca="1" si="218"/>
        <v>5.7950817575944086E-2</v>
      </c>
    </row>
    <row r="440" spans="1:37" ht="17.25" customHeight="1">
      <c r="A440" s="19"/>
      <c r="B440" s="45" t="s">
        <v>375</v>
      </c>
      <c r="C440" s="28" t="s">
        <v>35</v>
      </c>
      <c r="D440" s="28" t="s">
        <v>27</v>
      </c>
      <c r="E440" s="28" t="s">
        <v>63</v>
      </c>
      <c r="F440" s="36" t="s">
        <v>29</v>
      </c>
      <c r="G440" s="28" t="s">
        <v>38</v>
      </c>
      <c r="H440" s="51" t="str">
        <f>HYPERLINK("https://innovativeincomeinvestor.com/security/national-storage-affiliates-trust-6-series-a-cumulative-redeemable-preferred-shares/","NSA-A")</f>
        <v>NSA-A</v>
      </c>
      <c r="I440" s="47">
        <v>0.06</v>
      </c>
      <c r="J440" s="65">
        <f ca="1">IFERROR(__xludf.DUMMYFUNCTION("GoogleFinance(H440)"),22.47)</f>
        <v>22.47</v>
      </c>
      <c r="K440" s="65">
        <f ca="1">IFERROR(__xludf.DUMMYFUNCTION("googlefinance(H440,""change"")"),-0.08)</f>
        <v>-0.08</v>
      </c>
      <c r="L440" s="27">
        <f t="shared" ca="1" si="236"/>
        <v>6.6755674232309756E-2</v>
      </c>
      <c r="M440" s="27">
        <f t="shared" ref="M440:M441" ca="1" si="239">(25-J440)/25</f>
        <v>0.10120000000000004</v>
      </c>
      <c r="N440" s="28" t="s">
        <v>31</v>
      </c>
      <c r="O440" s="28" t="s">
        <v>32</v>
      </c>
      <c r="P440" s="28" t="s">
        <v>32</v>
      </c>
      <c r="Q440" s="29">
        <f t="shared" si="238"/>
        <v>0.375</v>
      </c>
      <c r="R440" s="64">
        <v>44845</v>
      </c>
      <c r="S440" s="54" t="s">
        <v>41</v>
      </c>
      <c r="T440" s="50" t="s">
        <v>42</v>
      </c>
      <c r="U440" s="16">
        <f t="shared" ca="1" si="223"/>
        <v>-2.7479452054794522</v>
      </c>
      <c r="V440" s="11" t="str">
        <v>All</v>
      </c>
      <c r="X440">
        <f t="shared" ca="1" si="212"/>
        <v>0.17232961084346299</v>
      </c>
      <c r="Z440" s="17">
        <f t="shared" ca="1" si="213"/>
        <v>46213</v>
      </c>
      <c r="AG440" s="33">
        <f t="shared" ca="1" si="214"/>
        <v>0.11751533887314314</v>
      </c>
      <c r="AH440">
        <f t="shared" ca="1" si="215"/>
        <v>8.5070913311124041E-2</v>
      </c>
      <c r="AI440">
        <f t="shared" ca="1" si="216"/>
        <v>7.896865544850773E-2</v>
      </c>
      <c r="AJ440">
        <f t="shared" ca="1" si="217"/>
        <v>7.4444720777998852E-2</v>
      </c>
      <c r="AK440">
        <f t="shared" ca="1" si="218"/>
        <v>6.9398799789335955E-2</v>
      </c>
    </row>
    <row r="441" spans="1:37" ht="17.25" customHeight="1">
      <c r="A441" s="68"/>
      <c r="B441" s="69" t="s">
        <v>376</v>
      </c>
      <c r="C441" s="28" t="s">
        <v>27</v>
      </c>
      <c r="D441" s="28" t="s">
        <v>27</v>
      </c>
      <c r="E441" s="28" t="s">
        <v>117</v>
      </c>
      <c r="F441" s="36" t="s">
        <v>29</v>
      </c>
      <c r="G441" s="28" t="s">
        <v>30</v>
      </c>
      <c r="H441" s="66" t="str">
        <f>HYPERLINK("https://innovativeincomeinvestor.com/security/navient-corporation-6-senior-notes-due-december-15-2043/","JSM")</f>
        <v>JSM</v>
      </c>
      <c r="I441" s="47">
        <v>0.06</v>
      </c>
      <c r="J441" s="26">
        <f ca="1">IFERROR(__xludf.DUMMYFUNCTION("GOOGLEFINANCE(H441)"),18.86)</f>
        <v>18.86</v>
      </c>
      <c r="K441" s="26">
        <f ca="1">IFERROR(__xludf.DUMMYFUNCTION("GOOGLEFINANCE(H441,""change"")"),-0.12)</f>
        <v>-0.12</v>
      </c>
      <c r="L441" s="27">
        <f t="shared" ca="1" si="236"/>
        <v>8.0593849416755042E-2</v>
      </c>
      <c r="M441" s="27">
        <f t="shared" ca="1" si="239"/>
        <v>0.24560000000000001</v>
      </c>
      <c r="N441" s="28" t="s">
        <v>31</v>
      </c>
      <c r="O441" s="28" t="s">
        <v>254</v>
      </c>
      <c r="P441" s="28" t="s">
        <v>367</v>
      </c>
      <c r="Q441" s="65">
        <v>0.38</v>
      </c>
      <c r="R441" s="64">
        <v>39797</v>
      </c>
      <c r="S441" s="64">
        <v>52580</v>
      </c>
      <c r="T441" s="62" t="s">
        <v>52</v>
      </c>
      <c r="U441" s="16">
        <f t="shared" ca="1" si="223"/>
        <v>-16.578082191780823</v>
      </c>
      <c r="V441" s="11" t="str">
        <v>All</v>
      </c>
      <c r="X441">
        <f t="shared" ca="1" si="212"/>
        <v>0.36388236009788316</v>
      </c>
      <c r="Z441" s="17">
        <f t="shared" ca="1" si="213"/>
        <v>46213</v>
      </c>
      <c r="AG441" s="33">
        <f t="shared" ca="1" si="214"/>
        <v>0.21418507720677696</v>
      </c>
      <c r="AH441">
        <f t="shared" ca="1" si="215"/>
        <v>0.12715584671063654</v>
      </c>
      <c r="AI441">
        <f t="shared" ca="1" si="216"/>
        <v>0.11094233474541879</v>
      </c>
      <c r="AJ441">
        <f t="shared" ca="1" si="217"/>
        <v>9.8979256235015536E-2</v>
      </c>
      <c r="AK441">
        <f t="shared" ca="1" si="218"/>
        <v>8.5801045973095347E-2</v>
      </c>
    </row>
    <row r="442" spans="1:37" ht="17.25" customHeight="1">
      <c r="A442" s="19"/>
      <c r="B442" s="45" t="s">
        <v>377</v>
      </c>
      <c r="C442" s="28" t="s">
        <v>27</v>
      </c>
      <c r="D442" s="28" t="s">
        <v>27</v>
      </c>
      <c r="E442" s="28" t="s">
        <v>171</v>
      </c>
      <c r="F442" s="28" t="s">
        <v>29</v>
      </c>
      <c r="G442" s="28" t="s">
        <v>30</v>
      </c>
      <c r="H442" s="23" t="str">
        <f>HYPERLINK("https://innovativeincomeinvestor.com/security/new-mountain-finance-corporation-8-25-notes-due-2028/","NMFCZ")</f>
        <v>NMFCZ</v>
      </c>
      <c r="I442" s="47">
        <v>8.2500000000000004E-2</v>
      </c>
      <c r="J442" s="25">
        <f ca="1">IFERROR(__xludf.DUMMYFUNCTION("GoogleFinance(H442)"),25.55)</f>
        <v>25.55</v>
      </c>
      <c r="K442" s="65">
        <f ca="1">IFERROR(__xludf.DUMMYFUNCTION("googlefinance(H442,""change"")"),0.02)</f>
        <v>0.02</v>
      </c>
      <c r="L442" s="27">
        <f t="shared" ca="1" si="236"/>
        <v>8.078277886497065E-2</v>
      </c>
      <c r="M442" s="27">
        <f t="shared" ref="M442:M445" ca="1" si="240">L442*U442+(25-J442)/25/U442</f>
        <v>-3.4405071726804889E-2</v>
      </c>
      <c r="N442" s="28" t="s">
        <v>39</v>
      </c>
      <c r="O442" s="28" t="s">
        <v>32</v>
      </c>
      <c r="P442" s="28" t="s">
        <v>64</v>
      </c>
      <c r="Q442" s="29">
        <v>0.51600000000000001</v>
      </c>
      <c r="R442" s="64">
        <v>45976</v>
      </c>
      <c r="S442" s="61">
        <v>47072</v>
      </c>
      <c r="T442" s="50" t="s">
        <v>33</v>
      </c>
      <c r="U442" s="16">
        <f t="shared" ca="1" si="223"/>
        <v>0.35068493150684932</v>
      </c>
      <c r="V442" s="11" t="str">
        <v>All</v>
      </c>
      <c r="X442">
        <f t="shared" ca="1" si="212"/>
        <v>5.9673415788567448E-2</v>
      </c>
      <c r="Z442" s="17">
        <f t="shared" ca="1" si="213"/>
        <v>46213</v>
      </c>
      <c r="AG442" s="33">
        <f t="shared" ca="1" si="214"/>
        <v>7.0608389372759317E-2</v>
      </c>
      <c r="AH442">
        <f t="shared" ca="1" si="215"/>
        <v>7.7152150176871923E-2</v>
      </c>
      <c r="AI442">
        <f t="shared" ca="1" si="216"/>
        <v>7.8383259516700415E-2</v>
      </c>
      <c r="AJ442">
        <f t="shared" ca="1" si="217"/>
        <v>7.9291269115548541E-2</v>
      </c>
      <c r="AK442">
        <f t="shared" ca="1" si="218"/>
        <v>8.0279540814184758E-2</v>
      </c>
    </row>
    <row r="443" spans="1:37" ht="17.25" customHeight="1">
      <c r="A443" s="19"/>
      <c r="B443" s="45" t="s">
        <v>378</v>
      </c>
      <c r="C443" s="28" t="s">
        <v>35</v>
      </c>
      <c r="D443" s="28" t="s">
        <v>27</v>
      </c>
      <c r="E443" s="28" t="s">
        <v>44</v>
      </c>
      <c r="F443" s="36" t="s">
        <v>29</v>
      </c>
      <c r="G443" s="28" t="s">
        <v>38</v>
      </c>
      <c r="H443" s="212" t="str">
        <f>HYPERLINK("https://innovativeincomeinvestor.com/security/new-york-mortgage-trust-7-00-series-g-cumulative-redeemable-preferred-stock/","NYMTZ")</f>
        <v>NYMTZ</v>
      </c>
      <c r="I443" s="85">
        <v>7.0000000000000007E-2</v>
      </c>
      <c r="J443" s="25">
        <f ca="1">IFERROR(__xludf.DUMMYFUNCTION("GoogleFinance(H443)"),18.84)</f>
        <v>18.84</v>
      </c>
      <c r="K443" s="48">
        <f ca="1">IFERROR(__xludf.DUMMYFUNCTION("googlefinance(H443,""change"")"),0.16)</f>
        <v>0.16</v>
      </c>
      <c r="L443" s="27">
        <f t="shared" ca="1" si="236"/>
        <v>9.3418259023354572E-2</v>
      </c>
      <c r="M443" s="27">
        <f t="shared" ca="1" si="240"/>
        <v>0.30413035154746004</v>
      </c>
      <c r="N443" s="28" t="s">
        <v>31</v>
      </c>
      <c r="O443" s="27" t="s">
        <v>32</v>
      </c>
      <c r="P443" s="28" t="s">
        <v>32</v>
      </c>
      <c r="Q443" s="29">
        <v>0.44</v>
      </c>
      <c r="R443" s="64">
        <v>46402</v>
      </c>
      <c r="S443" s="28" t="s">
        <v>41</v>
      </c>
      <c r="T443" s="62" t="s">
        <v>60</v>
      </c>
      <c r="U443" s="16">
        <f t="shared" ca="1" si="223"/>
        <v>1.5178082191780822</v>
      </c>
      <c r="V443" s="11" t="str">
        <v>All</v>
      </c>
      <c r="X443">
        <f t="shared" ca="1" si="212"/>
        <v>0.37708003377508509</v>
      </c>
      <c r="Z443" s="17">
        <f t="shared" ca="1" si="213"/>
        <v>46213</v>
      </c>
      <c r="AG443" s="33">
        <f t="shared" ca="1" si="214"/>
        <v>0.22662276179160931</v>
      </c>
      <c r="AH443">
        <f t="shared" ca="1" si="215"/>
        <v>0.13925730574839931</v>
      </c>
      <c r="AI443">
        <f t="shared" ca="1" si="216"/>
        <v>0.12304068066155813</v>
      </c>
      <c r="AJ443">
        <f t="shared" ca="1" si="217"/>
        <v>0.11113746272643292</v>
      </c>
      <c r="AK443">
        <f t="shared" ca="1" si="218"/>
        <v>9.8275716094292392E-2</v>
      </c>
    </row>
    <row r="444" spans="1:37" ht="17.25" customHeight="1">
      <c r="A444" s="19"/>
      <c r="B444" s="45" t="s">
        <v>378</v>
      </c>
      <c r="C444" s="28" t="s">
        <v>27</v>
      </c>
      <c r="D444" s="28" t="s">
        <v>27</v>
      </c>
      <c r="E444" s="28" t="s">
        <v>44</v>
      </c>
      <c r="F444" s="36" t="s">
        <v>29</v>
      </c>
      <c r="G444" s="28" t="s">
        <v>30</v>
      </c>
      <c r="H444" s="23" t="str">
        <f>HYPERLINK("https://innovativeincomeinvestor.com/security/ew-york-mortgage-trust-inc-9-125-senior-notes-due-2029/","NYMTI")</f>
        <v>NYMTI</v>
      </c>
      <c r="I444" s="85">
        <v>9.1249999999999998E-2</v>
      </c>
      <c r="J444" s="126">
        <f ca="1">IFERROR(__xludf.DUMMYFUNCTION("GoogleFinance(H444)"),24.35)</f>
        <v>24.35</v>
      </c>
      <c r="K444" s="213">
        <f ca="1">IFERROR(__xludf.DUMMYFUNCTION("googlefinance(H444,""change"")"),0.08)</f>
        <v>0.08</v>
      </c>
      <c r="L444" s="58">
        <f t="shared" ca="1" si="236"/>
        <v>9.3634496919917848E-2</v>
      </c>
      <c r="M444" s="58">
        <f t="shared" ca="1" si="240"/>
        <v>0.11798300447624058</v>
      </c>
      <c r="N444" s="59" t="s">
        <v>31</v>
      </c>
      <c r="O444" s="58" t="s">
        <v>32</v>
      </c>
      <c r="P444" s="59" t="s">
        <v>32</v>
      </c>
      <c r="Q444" s="29">
        <v>0.56999999999999995</v>
      </c>
      <c r="R444" s="64">
        <v>46204</v>
      </c>
      <c r="S444" s="82">
        <v>47300</v>
      </c>
      <c r="T444" s="62" t="s">
        <v>74</v>
      </c>
      <c r="U444" s="16">
        <f t="shared" ca="1" si="223"/>
        <v>0.97534246575342465</v>
      </c>
      <c r="V444" s="11" t="str">
        <v>All</v>
      </c>
      <c r="X444">
        <f t="shared" ca="1" si="212"/>
        <v>0.11921569515560919</v>
      </c>
      <c r="Z444" s="17">
        <f t="shared" ca="1" si="213"/>
        <v>46213</v>
      </c>
      <c r="AG444" s="33">
        <f t="shared" ca="1" si="214"/>
        <v>0.10584511728791357</v>
      </c>
      <c r="AH444">
        <f t="shared" ca="1" si="215"/>
        <v>9.7890206353955664E-2</v>
      </c>
      <c r="AI444">
        <f t="shared" ca="1" si="216"/>
        <v>9.6402061305467954E-2</v>
      </c>
      <c r="AJ444">
        <f t="shared" ca="1" si="217"/>
        <v>9.5312065043270278E-2</v>
      </c>
      <c r="AK444">
        <f t="shared" ca="1" si="218"/>
        <v>9.4147696322891328E-2</v>
      </c>
    </row>
    <row r="445" spans="1:37" ht="17.25" customHeight="1">
      <c r="A445" s="19"/>
      <c r="B445" s="45" t="s">
        <v>378</v>
      </c>
      <c r="C445" s="28" t="s">
        <v>27</v>
      </c>
      <c r="D445" s="28" t="s">
        <v>27</v>
      </c>
      <c r="E445" s="28" t="s">
        <v>44</v>
      </c>
      <c r="F445" s="36" t="s">
        <v>29</v>
      </c>
      <c r="G445" s="28" t="s">
        <v>30</v>
      </c>
      <c r="H445" s="51" t="str">
        <f>HYPERLINK("https://innovativeincomeinvestor.com/security/new-york-mortgage-trist-9-125-senior-notes-due-2030/","NYMTG")</f>
        <v>NYMTG</v>
      </c>
      <c r="I445" s="85">
        <v>9.1249999999999998E-2</v>
      </c>
      <c r="J445" s="126">
        <f ca="1">IFERROR(__xludf.DUMMYFUNCTION("GoogleFinance(H445)"),24.24)</f>
        <v>24.24</v>
      </c>
      <c r="K445" s="213">
        <f ca="1">IFERROR(__xludf.DUMMYFUNCTION("googlefinance(H445,""change"")"),0.07)</f>
        <v>7.0000000000000007E-2</v>
      </c>
      <c r="L445" s="58">
        <f t="shared" ca="1" si="236"/>
        <v>9.405940594059406E-2</v>
      </c>
      <c r="M445" s="58" t="e">
        <f t="shared" ca="1" si="240"/>
        <v>#DIV/0!</v>
      </c>
      <c r="N445" s="59" t="s">
        <v>31</v>
      </c>
      <c r="O445" s="58" t="s">
        <v>32</v>
      </c>
      <c r="P445" s="59" t="s">
        <v>32</v>
      </c>
      <c r="Q445" s="29">
        <v>0.56999999999999995</v>
      </c>
      <c r="R445" s="64">
        <v>46478</v>
      </c>
      <c r="S445" s="82">
        <v>47574</v>
      </c>
      <c r="T445" s="62" t="s">
        <v>74</v>
      </c>
      <c r="U445" s="16"/>
      <c r="V445" s="11" t="str">
        <v>All</v>
      </c>
      <c r="X445">
        <f t="shared" ca="1" si="212"/>
        <v>0.12404279157488846</v>
      </c>
      <c r="Z445" s="17">
        <f t="shared" ca="1" si="213"/>
        <v>46213</v>
      </c>
      <c r="AG445" s="33">
        <f t="shared" ca="1" si="214"/>
        <v>0.10836070765706513</v>
      </c>
      <c r="AH445">
        <f t="shared" ca="1" si="215"/>
        <v>9.9035099862198536E-2</v>
      </c>
      <c r="AI445">
        <f t="shared" ca="1" si="216"/>
        <v>9.7291077174446308E-2</v>
      </c>
      <c r="AJ445">
        <f t="shared" ca="1" si="217"/>
        <v>9.6013810824853454E-2</v>
      </c>
      <c r="AK445">
        <f t="shared" ca="1" si="218"/>
        <v>9.46502943156496E-2</v>
      </c>
    </row>
    <row r="446" spans="1:37" ht="17.25" customHeight="1">
      <c r="A446" s="68"/>
      <c r="B446" s="69" t="s">
        <v>378</v>
      </c>
      <c r="C446" s="28" t="s">
        <v>35</v>
      </c>
      <c r="D446" s="28" t="s">
        <v>27</v>
      </c>
      <c r="E446" s="28" t="s">
        <v>44</v>
      </c>
      <c r="F446" s="36" t="s">
        <v>46</v>
      </c>
      <c r="G446" s="28" t="s">
        <v>38</v>
      </c>
      <c r="H446" s="83" t="str">
        <f>HYPERLINK("https://innovativeincomeinvestor.com/security/new-york-mortgage-trust-inc-7-875-series-e-fixed-to-floating-rate-cumulative-redeemable-preferred-stock/","NYMTM")</f>
        <v>NYMTM</v>
      </c>
      <c r="I446" s="47">
        <v>7.8750000000000001E-2</v>
      </c>
      <c r="J446" s="25">
        <f ca="1">IFERROR(__xludf.DUMMYFUNCTION("GoogleFinance(H446)"),24.37)</f>
        <v>24.37</v>
      </c>
      <c r="K446" s="48">
        <f ca="1">IFERROR(__xludf.DUMMYFUNCTION("googlefinance(H446,""change"")"),0.05)</f>
        <v>0.05</v>
      </c>
      <c r="L446" s="52" t="s">
        <v>47</v>
      </c>
      <c r="M446" s="27">
        <f ca="1">(25-J446)/25</f>
        <v>2.5199999999999959E-2</v>
      </c>
      <c r="N446" s="28" t="s">
        <v>31</v>
      </c>
      <c r="O446" s="27" t="s">
        <v>32</v>
      </c>
      <c r="P446" s="27" t="s">
        <v>32</v>
      </c>
      <c r="Q446" s="52" t="s">
        <v>47</v>
      </c>
      <c r="R446" s="64">
        <v>45672</v>
      </c>
      <c r="S446" s="28" t="s">
        <v>41</v>
      </c>
      <c r="T446" s="62" t="s">
        <v>60</v>
      </c>
      <c r="U446" s="16">
        <f t="shared" ref="U446:U455" ca="1" si="241">(R446-TODAY())/365</f>
        <v>-0.48219178082191783</v>
      </c>
      <c r="V446" s="11" t="str">
        <v>All</v>
      </c>
      <c r="X446">
        <f t="shared" ca="1" si="212"/>
        <v>0.10563543787110856</v>
      </c>
      <c r="Z446" s="17">
        <f t="shared" ca="1" si="213"/>
        <v>46213</v>
      </c>
      <c r="AG446" s="33">
        <f t="shared" ca="1" si="214"/>
        <v>9.2699111740463677E-2</v>
      </c>
      <c r="AH446">
        <f t="shared" ca="1" si="215"/>
        <v>8.4991308088493228E-2</v>
      </c>
      <c r="AI446">
        <f t="shared" ca="1" si="216"/>
        <v>8.3543057651524422E-2</v>
      </c>
      <c r="AJ446">
        <f t="shared" ca="1" si="217"/>
        <v>8.2475628181227653E-2</v>
      </c>
      <c r="AK446">
        <f t="shared" ca="1" si="218"/>
        <v>8.1310648965405366E-2</v>
      </c>
    </row>
    <row r="447" spans="1:37" ht="17.25" customHeight="1">
      <c r="A447" s="19"/>
      <c r="B447" s="45" t="s">
        <v>378</v>
      </c>
      <c r="C447" s="28" t="s">
        <v>35</v>
      </c>
      <c r="D447" s="28" t="s">
        <v>27</v>
      </c>
      <c r="E447" s="28" t="s">
        <v>44</v>
      </c>
      <c r="F447" s="28" t="s">
        <v>46</v>
      </c>
      <c r="G447" s="28" t="s">
        <v>38</v>
      </c>
      <c r="H447" s="66" t="str">
        <f>HYPERLINK("https://innovativeincomeinvestor.com/security/new-york-mortgage-trust-8-00-series-d-fixed-to-floating-rate-cumulative-redeemable-preferred-stock/","NYMTN")</f>
        <v>NYMTN</v>
      </c>
      <c r="I447" s="85">
        <v>0.08</v>
      </c>
      <c r="J447" s="65">
        <f ca="1">IFERROR(__xludf.DUMMYFUNCTION("GoogleFinance(H447)"),20.88)</f>
        <v>20.88</v>
      </c>
      <c r="K447" s="48">
        <f ca="1">IFERROR(__xludf.DUMMYFUNCTION("googlefinance(H447,""change"")"),-0.05)</f>
        <v>-0.05</v>
      </c>
      <c r="L447" s="27">
        <f t="shared" ref="L447:L448" ca="1" si="242">(Q447*4)/J447</f>
        <v>9.5785440613026823E-2</v>
      </c>
      <c r="M447" s="27">
        <f t="shared" ref="M447:M448" ca="1" si="243">L447*U447+(25-J447)/25/U447</f>
        <v>0.28976137752572206</v>
      </c>
      <c r="N447" s="28" t="s">
        <v>31</v>
      </c>
      <c r="O447" s="27" t="s">
        <v>32</v>
      </c>
      <c r="P447" s="27" t="s">
        <v>32</v>
      </c>
      <c r="Q447" s="29">
        <f>(I447*25)/4</f>
        <v>0.5</v>
      </c>
      <c r="R447" s="53">
        <v>46675</v>
      </c>
      <c r="S447" s="54" t="s">
        <v>41</v>
      </c>
      <c r="T447" s="50" t="s">
        <v>60</v>
      </c>
      <c r="U447" s="16">
        <f t="shared" ca="1" si="241"/>
        <v>2.2657534246575342</v>
      </c>
      <c r="V447" s="11" t="str">
        <v>All</v>
      </c>
      <c r="X447">
        <f t="shared" ca="1" si="212"/>
        <v>0.27395032549598108</v>
      </c>
      <c r="Z447" s="17">
        <f t="shared" ca="1" si="213"/>
        <v>46213</v>
      </c>
      <c r="AG447" s="33">
        <f t="shared" ca="1" si="214"/>
        <v>0.17993438577450327</v>
      </c>
      <c r="AH447">
        <f t="shared" ca="1" si="215"/>
        <v>0.1248209078096212</v>
      </c>
      <c r="AI447">
        <f t="shared" ca="1" si="216"/>
        <v>0.11456674793533357</v>
      </c>
      <c r="AJ447">
        <f t="shared" ca="1" si="217"/>
        <v>0.1070533412473902</v>
      </c>
      <c r="AK447">
        <f t="shared" ca="1" si="218"/>
        <v>9.9006577658966283E-2</v>
      </c>
    </row>
    <row r="448" spans="1:37" ht="17.25" customHeight="1">
      <c r="A448" s="19"/>
      <c r="B448" s="45" t="s">
        <v>378</v>
      </c>
      <c r="C448" s="28" t="s">
        <v>35</v>
      </c>
      <c r="D448" s="28" t="s">
        <v>27</v>
      </c>
      <c r="E448" s="28" t="s">
        <v>44</v>
      </c>
      <c r="F448" s="36" t="s">
        <v>46</v>
      </c>
      <c r="G448" s="28" t="s">
        <v>38</v>
      </c>
      <c r="H448" s="55" t="str">
        <f>HYPERLINK("https://innovativeincomeinvestor.com/security/new-york-mortgage-trust-inc-6-875-series-f-fixed-to-floating-rate-cumulative-redeemable-preferred-stock/","NYMTL")</f>
        <v>NYMTL</v>
      </c>
      <c r="I448" s="85">
        <v>6.8750000000000006E-2</v>
      </c>
      <c r="J448" s="65">
        <f ca="1">IFERROR(__xludf.DUMMYFUNCTION("GoogleFinance(H448)"),21.62)</f>
        <v>21.62</v>
      </c>
      <c r="K448" s="48">
        <f ca="1">IFERROR(__xludf.DUMMYFUNCTION("googlefinance(H448,""change"")"),0.11)</f>
        <v>0.11</v>
      </c>
      <c r="L448" s="27">
        <f t="shared" ca="1" si="242"/>
        <v>7.9555966697502312E-2</v>
      </c>
      <c r="M448" s="27">
        <f t="shared" ca="1" si="243"/>
        <v>0.20751209011315708</v>
      </c>
      <c r="N448" s="28" t="s">
        <v>31</v>
      </c>
      <c r="O448" s="27" t="s">
        <v>32</v>
      </c>
      <c r="P448" s="28" t="s">
        <v>32</v>
      </c>
      <c r="Q448" s="65">
        <v>0.43</v>
      </c>
      <c r="R448" s="64">
        <v>46310</v>
      </c>
      <c r="S448" s="28" t="s">
        <v>41</v>
      </c>
      <c r="T448" s="62" t="s">
        <v>60</v>
      </c>
      <c r="U448" s="16">
        <f t="shared" ca="1" si="241"/>
        <v>1.2657534246575342</v>
      </c>
      <c r="V448" s="11" t="str">
        <v>All</v>
      </c>
      <c r="X448">
        <f t="shared" ca="1" si="212"/>
        <v>0.22333394488453939</v>
      </c>
      <c r="Z448" s="17">
        <f t="shared" ca="1" si="213"/>
        <v>46213</v>
      </c>
      <c r="AG448" s="33">
        <f t="shared" ca="1" si="214"/>
        <v>0.14808915283591073</v>
      </c>
      <c r="AH448">
        <f t="shared" ca="1" si="215"/>
        <v>0.10376416110615774</v>
      </c>
      <c r="AI448">
        <f t="shared" ca="1" si="216"/>
        <v>9.5466749498075029E-2</v>
      </c>
      <c r="AJ448">
        <f t="shared" ca="1" si="217"/>
        <v>8.9344737382259093E-2</v>
      </c>
      <c r="AK448">
        <f t="shared" ca="1" si="218"/>
        <v>8.2626910480403062E-2</v>
      </c>
    </row>
    <row r="449" spans="1:37" ht="17.25" customHeight="1">
      <c r="A449" s="19"/>
      <c r="B449" s="45" t="s">
        <v>379</v>
      </c>
      <c r="C449" s="28" t="s">
        <v>27</v>
      </c>
      <c r="D449" s="28" t="s">
        <v>27</v>
      </c>
      <c r="E449" s="28" t="s">
        <v>110</v>
      </c>
      <c r="F449" s="36" t="s">
        <v>29</v>
      </c>
      <c r="G449" s="28" t="s">
        <v>30</v>
      </c>
      <c r="H449" s="23" t="str">
        <f>HYPERLINK("https://innovativeincomeinvestor.com/security/newtek-business-services-5-75-notes-due-2024/","NEWTL")</f>
        <v>NEWTL</v>
      </c>
      <c r="I449" s="85">
        <v>5.7500000000000002E-2</v>
      </c>
      <c r="J449" s="86" t="s">
        <v>68</v>
      </c>
      <c r="K449" s="169" t="s">
        <v>68</v>
      </c>
      <c r="L449" s="88" t="s">
        <v>68</v>
      </c>
      <c r="M449" s="178" t="s">
        <v>68</v>
      </c>
      <c r="N449" s="28" t="s">
        <v>31</v>
      </c>
      <c r="O449" s="27" t="s">
        <v>32</v>
      </c>
      <c r="P449" s="28" t="s">
        <v>32</v>
      </c>
      <c r="Q449" s="29">
        <v>0.36</v>
      </c>
      <c r="R449" s="64">
        <v>44409</v>
      </c>
      <c r="S449" s="82">
        <v>45505</v>
      </c>
      <c r="T449" s="62" t="s">
        <v>101</v>
      </c>
      <c r="U449" s="16">
        <f t="shared" ca="1" si="241"/>
        <v>-3.9424657534246577</v>
      </c>
      <c r="V449" s="11" t="str">
        <v>All</v>
      </c>
      <c r="X449" t="e">
        <f t="shared" ca="1" si="212"/>
        <v>#VALUE!</v>
      </c>
      <c r="Z449" s="17">
        <f t="shared" ca="1" si="213"/>
        <v>46213</v>
      </c>
      <c r="AG449" s="33" t="e">
        <f t="shared" ca="1" si="214"/>
        <v>#VALUE!</v>
      </c>
      <c r="AH449" t="e">
        <f t="shared" ca="1" si="215"/>
        <v>#VALUE!</v>
      </c>
      <c r="AI449" t="e">
        <f t="shared" ca="1" si="216"/>
        <v>#VALUE!</v>
      </c>
      <c r="AJ449" t="e">
        <f t="shared" ca="1" si="217"/>
        <v>#VALUE!</v>
      </c>
      <c r="AK449" t="e">
        <f t="shared" ca="1" si="218"/>
        <v>#VALUE!</v>
      </c>
    </row>
    <row r="450" spans="1:37" ht="17.25" customHeight="1">
      <c r="A450" s="19"/>
      <c r="B450" s="45" t="s">
        <v>379</v>
      </c>
      <c r="C450" s="28" t="s">
        <v>27</v>
      </c>
      <c r="D450" s="28" t="s">
        <v>27</v>
      </c>
      <c r="E450" s="28" t="s">
        <v>110</v>
      </c>
      <c r="F450" s="36" t="s">
        <v>29</v>
      </c>
      <c r="G450" s="28" t="s">
        <v>30</v>
      </c>
      <c r="H450" s="83" t="str">
        <f>HYPERLINK("https://innovativeincomeinvestor.com/security/newtek-business-services-corporation-5-50-notes-due-2026/","NEWTZ")</f>
        <v>NEWTZ</v>
      </c>
      <c r="I450" s="85">
        <v>5.5E-2</v>
      </c>
      <c r="J450" s="214">
        <f ca="1">IFERROR(__xludf.DUMMYFUNCTION("GOOGLEFINANCE(H450)"),24.96)</f>
        <v>24.96</v>
      </c>
      <c r="K450" s="214">
        <f ca="1">IFERROR(__xludf.DUMMYFUNCTION("GOOGLEFINANCE(H450,""change"")"),0.05)</f>
        <v>0.05</v>
      </c>
      <c r="L450" s="40">
        <f t="shared" ref="L450:L454" ca="1" si="244">Q450*4/J450</f>
        <v>5.5088141025641024E-2</v>
      </c>
      <c r="M450" s="40">
        <f ca="1">(25-J450)/25</f>
        <v>1.5999999999999658E-3</v>
      </c>
      <c r="N450" s="28" t="s">
        <v>31</v>
      </c>
      <c r="O450" s="27" t="s">
        <v>32</v>
      </c>
      <c r="P450" s="28" t="s">
        <v>32</v>
      </c>
      <c r="Q450" s="29">
        <f>(I450*25)/4</f>
        <v>0.34375</v>
      </c>
      <c r="R450" s="64">
        <v>44593</v>
      </c>
      <c r="S450" s="82">
        <v>46054</v>
      </c>
      <c r="T450" s="62" t="s">
        <v>101</v>
      </c>
      <c r="U450" s="16">
        <f t="shared" ca="1" si="241"/>
        <v>-3.4383561643835616</v>
      </c>
      <c r="V450" s="11" t="str">
        <v>All</v>
      </c>
      <c r="X450">
        <f t="shared" ca="1" si="212"/>
        <v>5.6657055397373139E-2</v>
      </c>
      <c r="Z450" s="17">
        <f t="shared" ca="1" si="213"/>
        <v>46213</v>
      </c>
      <c r="AG450" s="33">
        <f t="shared" ca="1" si="214"/>
        <v>5.585107894048183E-2</v>
      </c>
      <c r="AH450">
        <f t="shared" ca="1" si="215"/>
        <v>5.5368470860638071E-2</v>
      </c>
      <c r="AI450">
        <f t="shared" ca="1" si="216"/>
        <v>5.5277020068143883E-2</v>
      </c>
      <c r="AJ450">
        <f t="shared" ca="1" si="217"/>
        <v>5.5209105065425444E-2</v>
      </c>
      <c r="AK450">
        <f t="shared" ca="1" si="218"/>
        <v>5.5132191814659705E-2</v>
      </c>
    </row>
    <row r="451" spans="1:37" ht="17.25" customHeight="1">
      <c r="A451" s="19"/>
      <c r="B451" s="45" t="s">
        <v>379</v>
      </c>
      <c r="C451" s="28" t="s">
        <v>27</v>
      </c>
      <c r="D451" s="28" t="s">
        <v>27</v>
      </c>
      <c r="E451" s="28" t="s">
        <v>110</v>
      </c>
      <c r="F451" s="36" t="s">
        <v>29</v>
      </c>
      <c r="G451" s="28" t="s">
        <v>30</v>
      </c>
      <c r="H451" s="23" t="str">
        <f>HYPERLINK("https://innovativeincomeinvestor.com/security/newtekone-inc-8-00-fixed-rate-senior-notes-due-2028/","NEWTI")</f>
        <v>NEWTI</v>
      </c>
      <c r="I451" s="47">
        <v>0.08</v>
      </c>
      <c r="J451" s="26">
        <f ca="1">IFERROR(__xludf.DUMMYFUNCTION("GOOGLEFINANCE(H451)"),24.93)</f>
        <v>24.93</v>
      </c>
      <c r="K451" s="26">
        <f ca="1">IFERROR(__xludf.DUMMYFUNCTION("GOOGLEFINANCE(H451,""change"")"),-0.07)</f>
        <v>-7.0000000000000007E-2</v>
      </c>
      <c r="L451" s="27">
        <f t="shared" ca="1" si="244"/>
        <v>8.022462896109106E-2</v>
      </c>
      <c r="M451" s="27">
        <f t="shared" ref="M451:M456" ca="1" si="245">L451*U451+(25-J451)/25/U451</f>
        <v>3.0932074580083034E-2</v>
      </c>
      <c r="N451" s="28" t="s">
        <v>31</v>
      </c>
      <c r="O451" s="27" t="s">
        <v>32</v>
      </c>
      <c r="P451" s="28" t="s">
        <v>32</v>
      </c>
      <c r="Q451" s="29">
        <v>0.5</v>
      </c>
      <c r="R451" s="64">
        <v>45901</v>
      </c>
      <c r="S451" s="82">
        <v>46997</v>
      </c>
      <c r="T451" s="62" t="s">
        <v>81</v>
      </c>
      <c r="U451" s="16">
        <f t="shared" ca="1" si="241"/>
        <v>0.14520547945205478</v>
      </c>
      <c r="V451" s="11" t="str">
        <v>All</v>
      </c>
      <c r="X451">
        <f t="shared" ref="X451:X514" ca="1" si="246">YIELD($W$1,Z451,I451,J451*4,100,4,0)</f>
        <v>8.2946646092607892E-2</v>
      </c>
      <c r="Z451" s="17">
        <f t="shared" ref="Z451:Z514" ca="1" si="247">TODAY()+($Z$1*$Y$1)</f>
        <v>46213</v>
      </c>
      <c r="AG451" s="33">
        <f t="shared" ref="AG451:AG514" ca="1" si="248">YIELD($W$1,$AA$2,I451,J451*4,100,4,0)</f>
        <v>8.1531433608746998E-2</v>
      </c>
      <c r="AH451">
        <f t="shared" ref="AH451:AH514" ca="1" si="249">YIELD($W$1,$AB$2,I451,J451*4,100,4,0)</f>
        <v>8.068586325203124E-2</v>
      </c>
      <c r="AI451">
        <f t="shared" ref="AI451:AI514" ca="1" si="250">YIELD($W$1,$AC$2,I451,J451*4,100,4,0)</f>
        <v>8.0526681907690703E-2</v>
      </c>
      <c r="AJ451">
        <f t="shared" ref="AJ451:AJ514" ca="1" si="251">YIELD($W$1,$AD$2,I451,J451*4,100,4,0)</f>
        <v>8.040967758687062E-2</v>
      </c>
      <c r="AK451">
        <f t="shared" ref="AK451:AK514" ca="1" si="252">YIELD($W$1,$AE$2,I451,J451*4,100,4,0)</f>
        <v>8.0281421453965773E-2</v>
      </c>
    </row>
    <row r="452" spans="1:37" ht="17.25" customHeight="1">
      <c r="A452" s="19"/>
      <c r="B452" s="45" t="s">
        <v>379</v>
      </c>
      <c r="C452" s="28" t="s">
        <v>27</v>
      </c>
      <c r="D452" s="28" t="s">
        <v>27</v>
      </c>
      <c r="E452" s="28" t="s">
        <v>110</v>
      </c>
      <c r="F452" s="36" t="s">
        <v>29</v>
      </c>
      <c r="G452" s="28" t="s">
        <v>30</v>
      </c>
      <c r="H452" s="83" t="str">
        <f>HYPERLINK("https://innovativeincomeinvestor.com/security/newtekone-inc-8-50-fixed-rate-senior-notes-due-2029/","NEWTG")</f>
        <v>NEWTG</v>
      </c>
      <c r="I452" s="47">
        <v>8.5000000000000006E-2</v>
      </c>
      <c r="J452" s="26">
        <f ca="1">IFERROR(__xludf.DUMMYFUNCTION("GOOGLEFINANCE(H452)"),24.86)</f>
        <v>24.86</v>
      </c>
      <c r="K452" s="26">
        <f ca="1">IFERROR(__xludf.DUMMYFUNCTION("GOOGLEFINANCE(H452,""change"")"),0.14)</f>
        <v>0.14000000000000001</v>
      </c>
      <c r="L452" s="27">
        <f t="shared" ca="1" si="244"/>
        <v>8.5277554304102984E-2</v>
      </c>
      <c r="M452" s="27">
        <f t="shared" ca="1" si="245"/>
        <v>0.16440129217801241</v>
      </c>
      <c r="N452" s="28" t="s">
        <v>31</v>
      </c>
      <c r="O452" s="27" t="s">
        <v>32</v>
      </c>
      <c r="P452" s="28" t="s">
        <v>32</v>
      </c>
      <c r="Q452" s="29">
        <v>0.53</v>
      </c>
      <c r="R452" s="64">
        <v>46539</v>
      </c>
      <c r="S452" s="82">
        <v>47270</v>
      </c>
      <c r="T452" s="62" t="s">
        <v>81</v>
      </c>
      <c r="U452" s="16">
        <f t="shared" ca="1" si="241"/>
        <v>1.893150684931507</v>
      </c>
      <c r="V452" s="11" t="str">
        <v>All</v>
      </c>
      <c r="X452">
        <f t="shared" ca="1" si="246"/>
        <v>9.0921802016640962E-2</v>
      </c>
      <c r="Z452" s="17">
        <f t="shared" ca="1" si="247"/>
        <v>46213</v>
      </c>
      <c r="AG452" s="33">
        <f t="shared" ca="1" si="248"/>
        <v>8.8084513714030116E-2</v>
      </c>
      <c r="AH452">
        <f t="shared" ca="1" si="249"/>
        <v>8.6391125818725642E-2</v>
      </c>
      <c r="AI452">
        <f t="shared" ca="1" si="250"/>
        <v>8.6073069472451746E-2</v>
      </c>
      <c r="AJ452">
        <f t="shared" ca="1" si="251"/>
        <v>8.5839521604124613E-2</v>
      </c>
      <c r="AK452">
        <f t="shared" ca="1" si="252"/>
        <v>8.5586165352901214E-2</v>
      </c>
    </row>
    <row r="453" spans="1:37" ht="17.25" customHeight="1">
      <c r="A453" s="19"/>
      <c r="B453" s="45" t="s">
        <v>379</v>
      </c>
      <c r="C453" s="28" t="s">
        <v>27</v>
      </c>
      <c r="D453" s="28" t="s">
        <v>27</v>
      </c>
      <c r="E453" s="28" t="s">
        <v>110</v>
      </c>
      <c r="F453" s="36" t="s">
        <v>29</v>
      </c>
      <c r="G453" s="28" t="s">
        <v>30</v>
      </c>
      <c r="H453" s="23" t="str">
        <f>HYPERLINK("https://innovativeincomeinvestor.com/security/newtekone-inc-8-625-fixed-rate-senior-notes-due-2029/","NEWTH")</f>
        <v>NEWTH</v>
      </c>
      <c r="I453" s="47">
        <v>8.6249999999999993E-2</v>
      </c>
      <c r="J453" s="26">
        <f ca="1">IFERROR(__xludf.DUMMYFUNCTION("GOOGLEFINANCE(H453)"),25.09)</f>
        <v>25.09</v>
      </c>
      <c r="K453" s="26">
        <f ca="1">IFERROR(__xludf.DUMMYFUNCTION("GOOGLEFINANCE(H453,""change"")"),0.02)</f>
        <v>0.02</v>
      </c>
      <c r="L453" s="27">
        <f t="shared" ca="1" si="244"/>
        <v>8.6090075727381435E-2</v>
      </c>
      <c r="M453" s="27">
        <f t="shared" ca="1" si="245"/>
        <v>0.10612465233680367</v>
      </c>
      <c r="N453" s="28" t="s">
        <v>31</v>
      </c>
      <c r="O453" s="27" t="s">
        <v>32</v>
      </c>
      <c r="P453" s="28" t="s">
        <v>32</v>
      </c>
      <c r="Q453" s="29">
        <v>0.54</v>
      </c>
      <c r="R453" s="64">
        <v>46310</v>
      </c>
      <c r="S453" s="82">
        <v>47406</v>
      </c>
      <c r="T453" s="62" t="s">
        <v>60</v>
      </c>
      <c r="U453" s="16">
        <f t="shared" ca="1" si="241"/>
        <v>1.2657534246575342</v>
      </c>
      <c r="V453" s="11" t="str">
        <v>All</v>
      </c>
      <c r="X453">
        <f t="shared" ca="1" si="246"/>
        <v>8.2462566375018198E-2</v>
      </c>
      <c r="Z453" s="17">
        <f t="shared" ca="1" si="247"/>
        <v>46213</v>
      </c>
      <c r="AG453" s="33">
        <f t="shared" ca="1" si="248"/>
        <v>8.4275193464808593E-2</v>
      </c>
      <c r="AH453">
        <f t="shared" ca="1" si="249"/>
        <v>8.5356904249193274E-2</v>
      </c>
      <c r="AI453">
        <f t="shared" ca="1" si="250"/>
        <v>8.5559756177879684E-2</v>
      </c>
      <c r="AJ453">
        <f t="shared" ca="1" si="251"/>
        <v>8.5709398418902655E-2</v>
      </c>
      <c r="AK453">
        <f t="shared" ca="1" si="252"/>
        <v>8.5870346599775993E-2</v>
      </c>
    </row>
    <row r="454" spans="1:37" ht="17.25" customHeight="1">
      <c r="A454" s="19"/>
      <c r="B454" s="45" t="s">
        <v>380</v>
      </c>
      <c r="C454" s="28" t="s">
        <v>35</v>
      </c>
      <c r="D454" s="28" t="s">
        <v>27</v>
      </c>
      <c r="E454" s="28" t="s">
        <v>44</v>
      </c>
      <c r="F454" s="36" t="s">
        <v>29</v>
      </c>
      <c r="G454" s="28" t="s">
        <v>38</v>
      </c>
      <c r="H454" s="23" t="str">
        <f>HYPERLINK("https://innovativeincomeinvestor.com/security/nexpoint-real-estate-finance-8-50-series-a-cumulative-redeemable-preferred-stock/","NREF-A")</f>
        <v>NREF-A</v>
      </c>
      <c r="I454" s="47">
        <v>8.5000000000000006E-2</v>
      </c>
      <c r="J454" s="26">
        <f ca="1">IFERROR(__xludf.DUMMYFUNCTION("GOOGLEFINANCE(H454)"),23.6)</f>
        <v>23.6</v>
      </c>
      <c r="K454" s="26">
        <f ca="1">IFERROR(__xludf.DUMMYFUNCTION("GOOGLEFINANCE(H454,""change"")"),0.35)</f>
        <v>0.35</v>
      </c>
      <c r="L454" s="27">
        <f t="shared" ca="1" si="244"/>
        <v>8.9830508474576271E-2</v>
      </c>
      <c r="M454" s="27">
        <f t="shared" ca="1" si="245"/>
        <v>1.4634455537497082</v>
      </c>
      <c r="N454" s="28" t="s">
        <v>31</v>
      </c>
      <c r="O454" s="27" t="s">
        <v>32</v>
      </c>
      <c r="P454" s="28" t="s">
        <v>32</v>
      </c>
      <c r="Q454" s="29">
        <v>0.53</v>
      </c>
      <c r="R454" s="64">
        <v>45862</v>
      </c>
      <c r="S454" s="28" t="s">
        <v>41</v>
      </c>
      <c r="T454" s="62" t="s">
        <v>198</v>
      </c>
      <c r="U454" s="16">
        <f t="shared" ca="1" si="241"/>
        <v>3.8356164383561646E-2</v>
      </c>
      <c r="V454" s="11" t="str">
        <v>All</v>
      </c>
      <c r="X454">
        <f t="shared" ca="1" si="246"/>
        <v>0.14620914260446949</v>
      </c>
      <c r="Z454" s="17">
        <f t="shared" ca="1" si="247"/>
        <v>46213</v>
      </c>
      <c r="AG454" s="33">
        <f t="shared" ca="1" si="248"/>
        <v>0.11680272378371576</v>
      </c>
      <c r="AH454">
        <f t="shared" ca="1" si="249"/>
        <v>9.9352439056601335E-2</v>
      </c>
      <c r="AI454">
        <f t="shared" ca="1" si="250"/>
        <v>9.6087130115035432E-2</v>
      </c>
      <c r="AJ454">
        <f t="shared" ca="1" si="251"/>
        <v>9.3689992324594518E-2</v>
      </c>
      <c r="AK454">
        <f t="shared" ca="1" si="252"/>
        <v>9.1110607417347639E-2</v>
      </c>
    </row>
    <row r="455" spans="1:37" ht="17.25" customHeight="1">
      <c r="A455" s="19"/>
      <c r="B455" s="45" t="s">
        <v>381</v>
      </c>
      <c r="C455" s="28" t="s">
        <v>27</v>
      </c>
      <c r="D455" s="28" t="s">
        <v>27</v>
      </c>
      <c r="E455" s="28" t="s">
        <v>73</v>
      </c>
      <c r="F455" s="36" t="s">
        <v>29</v>
      </c>
      <c r="G455" s="28" t="s">
        <v>30</v>
      </c>
      <c r="H455" s="51" t="str">
        <f>HYPERLINK("https://innovativeincomeinvestor.com/security/nextera-energy-capital-holdings-5-65-series-n-jr-subordinated-debentures-due-3-1-2079/","NEE-N")</f>
        <v>NEE-N</v>
      </c>
      <c r="I455" s="85">
        <v>5.6500000000000002E-2</v>
      </c>
      <c r="J455" s="65">
        <f ca="1">IFERROR(__xludf.DUMMYFUNCTION("GoogleFinance(H455)"),22.17)</f>
        <v>22.17</v>
      </c>
      <c r="K455" s="26">
        <f ca="1">IFERROR(__xludf.DUMMYFUNCTION("GOOGLEFINANCE(H455,""change"")"),-0.25)</f>
        <v>-0.25</v>
      </c>
      <c r="L455" s="27">
        <f t="shared" ref="L455:L456" ca="1" si="253">(Q455*4)/J455</f>
        <v>6.3689670726206571E-2</v>
      </c>
      <c r="M455" s="27">
        <f t="shared" ca="1" si="245"/>
        <v>-0.17399556668391997</v>
      </c>
      <c r="N455" s="28" t="s">
        <v>39</v>
      </c>
      <c r="O455" s="28" t="s">
        <v>50</v>
      </c>
      <c r="P455" s="28" t="s">
        <v>76</v>
      </c>
      <c r="Q455" s="65">
        <v>0.35299999999999998</v>
      </c>
      <c r="R455" s="64">
        <v>45458</v>
      </c>
      <c r="S455" s="64">
        <v>65440</v>
      </c>
      <c r="T455" s="62" t="s">
        <v>81</v>
      </c>
      <c r="U455" s="16">
        <f t="shared" ca="1" si="241"/>
        <v>-1.0684931506849316</v>
      </c>
      <c r="V455" s="11" t="str">
        <v>All</v>
      </c>
      <c r="X455">
        <f t="shared" ca="1" si="246"/>
        <v>0.18293162816866948</v>
      </c>
      <c r="Z455" s="17">
        <f t="shared" ca="1" si="247"/>
        <v>46213</v>
      </c>
      <c r="AG455" s="33">
        <f t="shared" ca="1" si="248"/>
        <v>0.12107757701119726</v>
      </c>
      <c r="AH455">
        <f t="shared" ca="1" si="249"/>
        <v>8.450583453736496E-2</v>
      </c>
      <c r="AI455">
        <f t="shared" ca="1" si="250"/>
        <v>7.7625771374637179E-2</v>
      </c>
      <c r="AJ455">
        <f t="shared" ca="1" si="251"/>
        <v>7.2520132018790956E-2</v>
      </c>
      <c r="AK455">
        <f t="shared" ca="1" si="252"/>
        <v>6.6802567296190926E-2</v>
      </c>
    </row>
    <row r="456" spans="1:37" ht="17.25" customHeight="1">
      <c r="A456" s="19"/>
      <c r="B456" s="84" t="s">
        <v>381</v>
      </c>
      <c r="C456" s="36" t="s">
        <v>27</v>
      </c>
      <c r="D456" s="36" t="s">
        <v>27</v>
      </c>
      <c r="E456" s="36" t="s">
        <v>73</v>
      </c>
      <c r="F456" s="28" t="s">
        <v>29</v>
      </c>
      <c r="G456" s="28" t="s">
        <v>30</v>
      </c>
      <c r="H456" s="51" t="str">
        <f>HYPERLINK("https://innovativeincomeinvestor.com/security/nextera-energy-capital-holdings-series-u-6-50-jr-subordinated-notes-due-6-1-2085/","NEE-U")</f>
        <v>NEE-U</v>
      </c>
      <c r="I456" s="85">
        <v>6.5000000000000002E-2</v>
      </c>
      <c r="J456" s="65">
        <f ca="1">IFERROR(__xludf.DUMMYFUNCTION("GoogleFinance(H456)"),25.16)</f>
        <v>25.16</v>
      </c>
      <c r="K456" s="26">
        <f ca="1">IFERROR(__xludf.DUMMYFUNCTION("GOOGLEFINANCE(H456,""change"")"),-0.07)</f>
        <v>-7.0000000000000007E-2</v>
      </c>
      <c r="L456" s="27">
        <f t="shared" ca="1" si="253"/>
        <v>6.518282988871224E-2</v>
      </c>
      <c r="M456" s="27" t="e">
        <f t="shared" ca="1" si="245"/>
        <v>#DIV/0!</v>
      </c>
      <c r="N456" s="28" t="s">
        <v>39</v>
      </c>
      <c r="O456" s="28" t="s">
        <v>50</v>
      </c>
      <c r="P456" s="28" t="s">
        <v>76</v>
      </c>
      <c r="Q456" s="65">
        <v>0.41</v>
      </c>
      <c r="R456" s="53">
        <v>47635</v>
      </c>
      <c r="S456" s="61">
        <v>67724</v>
      </c>
      <c r="T456" s="62" t="s">
        <v>81</v>
      </c>
      <c r="U456" s="16"/>
      <c r="V456" s="11" t="str">
        <v>All</v>
      </c>
      <c r="X456">
        <f t="shared" ca="1" si="246"/>
        <v>5.8364849780071851E-2</v>
      </c>
      <c r="Z456" s="17">
        <f t="shared" ca="1" si="247"/>
        <v>46213</v>
      </c>
      <c r="AG456" s="33">
        <f t="shared" ca="1" si="248"/>
        <v>6.1574382576222893E-2</v>
      </c>
      <c r="AH456">
        <f t="shared" ca="1" si="249"/>
        <v>6.3494993596963548E-2</v>
      </c>
      <c r="AI456">
        <f t="shared" ca="1" si="250"/>
        <v>6.3857818494781241E-2</v>
      </c>
      <c r="AJ456">
        <f t="shared" ca="1" si="251"/>
        <v>6.4127334442574735E-2</v>
      </c>
      <c r="AK456">
        <f t="shared" ca="1" si="252"/>
        <v>6.4427685840501833E-2</v>
      </c>
    </row>
    <row r="457" spans="1:37" ht="17.25" customHeight="1">
      <c r="A457" s="19"/>
      <c r="B457" s="84" t="s">
        <v>382</v>
      </c>
      <c r="C457" s="36" t="s">
        <v>35</v>
      </c>
      <c r="D457" s="36" t="s">
        <v>35</v>
      </c>
      <c r="E457" s="36" t="s">
        <v>73</v>
      </c>
      <c r="F457" s="28" t="s">
        <v>46</v>
      </c>
      <c r="G457" s="28" t="s">
        <v>38</v>
      </c>
      <c r="H457" s="51" t="str">
        <f>HYPERLINK("https://innovativeincomeinvestor.com/security/nisource-6-50-sereis-b-fixed-reset-cumulative-redeemable-perpetual-preferred-stock/","NI-B")</f>
        <v>NI-B</v>
      </c>
      <c r="I457" s="85">
        <v>6.5000000000000002E-2</v>
      </c>
      <c r="J457" s="86" t="s">
        <v>68</v>
      </c>
      <c r="K457" s="86" t="s">
        <v>68</v>
      </c>
      <c r="L457" s="86" t="s">
        <v>68</v>
      </c>
      <c r="M457" s="86" t="s">
        <v>68</v>
      </c>
      <c r="N457" s="28" t="s">
        <v>39</v>
      </c>
      <c r="O457" s="28" t="s">
        <v>55</v>
      </c>
      <c r="P457" s="28" t="s">
        <v>83</v>
      </c>
      <c r="Q457" s="65">
        <v>0.40899999999999997</v>
      </c>
      <c r="R457" s="53">
        <v>45366</v>
      </c>
      <c r="S457" s="54" t="s">
        <v>41</v>
      </c>
      <c r="T457" s="62" t="s">
        <v>52</v>
      </c>
      <c r="U457" s="16">
        <f t="shared" ref="U457:U474" ca="1" si="254">(R457-TODAY())/365</f>
        <v>-1.3205479452054794</v>
      </c>
      <c r="V457" s="11" t="str">
        <v>All</v>
      </c>
      <c r="X457" t="e">
        <f t="shared" ca="1" si="246"/>
        <v>#VALUE!</v>
      </c>
      <c r="Z457" s="17">
        <f t="shared" ca="1" si="247"/>
        <v>46213</v>
      </c>
      <c r="AG457" s="33" t="e">
        <f t="shared" ca="1" si="248"/>
        <v>#VALUE!</v>
      </c>
      <c r="AH457" t="e">
        <f t="shared" ca="1" si="249"/>
        <v>#VALUE!</v>
      </c>
      <c r="AI457" t="e">
        <f t="shared" ca="1" si="250"/>
        <v>#VALUE!</v>
      </c>
      <c r="AJ457" t="e">
        <f t="shared" ca="1" si="251"/>
        <v>#VALUE!</v>
      </c>
      <c r="AK457" t="e">
        <f t="shared" ca="1" si="252"/>
        <v>#VALUE!</v>
      </c>
    </row>
    <row r="458" spans="1:37" ht="17.25" customHeight="1">
      <c r="A458" s="19"/>
      <c r="B458" s="45" t="s">
        <v>383</v>
      </c>
      <c r="C458" s="36" t="s">
        <v>27</v>
      </c>
      <c r="D458" s="36" t="s">
        <v>384</v>
      </c>
      <c r="E458" s="36" t="s">
        <v>117</v>
      </c>
      <c r="F458" s="28" t="s">
        <v>29</v>
      </c>
      <c r="G458" s="28" t="s">
        <v>38</v>
      </c>
      <c r="H458" s="63" t="str">
        <f>HYPERLINK("https://innovativeincomeinvestor.com/security/8999/","NTRSO")</f>
        <v>NTRSO</v>
      </c>
      <c r="I458" s="47">
        <v>4.7E-2</v>
      </c>
      <c r="J458" s="65">
        <f ca="1">IFERROR(__xludf.DUMMYFUNCTION("GoogleFinance(H458)"),19.84)</f>
        <v>19.84</v>
      </c>
      <c r="K458" s="48">
        <f ca="1">IFERROR(__xludf.DUMMYFUNCTION("googlefinance(H458,""change"")"),-0.11)</f>
        <v>-0.11</v>
      </c>
      <c r="L458" s="27">
        <f ca="1">(Q458*4)/J458</f>
        <v>5.9223790322580648E-2</v>
      </c>
      <c r="M458" s="27">
        <f t="array" aca="1" ref="M458" ca="1">L458*U458+(25-J458)/25/U458</f>
        <v>-0.42733408551759428</v>
      </c>
      <c r="N458" s="28" t="s">
        <v>31</v>
      </c>
      <c r="O458" s="28" t="s">
        <v>311</v>
      </c>
      <c r="P458" s="28" t="s">
        <v>51</v>
      </c>
      <c r="Q458" s="29">
        <f>(I458*25)/4</f>
        <v>0.29375000000000001</v>
      </c>
      <c r="R458" s="64">
        <v>45658</v>
      </c>
      <c r="S458" s="54" t="s">
        <v>41</v>
      </c>
      <c r="T458" s="62" t="s">
        <v>52</v>
      </c>
      <c r="U458" s="16">
        <f t="shared" ca="1" si="254"/>
        <v>-0.52054794520547942</v>
      </c>
      <c r="V458" s="11" t="str">
        <v>All</v>
      </c>
      <c r="X458">
        <f t="shared" ca="1" si="246"/>
        <v>0.29245604719237162</v>
      </c>
      <c r="Z458" s="17">
        <f t="shared" ca="1" si="247"/>
        <v>46213</v>
      </c>
      <c r="AG458" s="33">
        <f t="shared" ca="1" si="248"/>
        <v>0.1710238990272985</v>
      </c>
      <c r="AH458">
        <f t="shared" ca="1" si="249"/>
        <v>9.9979687301055706E-2</v>
      </c>
      <c r="AI458">
        <f t="shared" ca="1" si="250"/>
        <v>8.6658808173830343E-2</v>
      </c>
      <c r="AJ458">
        <f t="shared" ca="1" si="251"/>
        <v>7.6764646023861544E-2</v>
      </c>
      <c r="AK458">
        <f t="shared" ca="1" si="252"/>
        <v>6.5610150094594935E-2</v>
      </c>
    </row>
    <row r="459" spans="1:37" ht="17.25" customHeight="1">
      <c r="A459" s="19"/>
      <c r="B459" s="45" t="s">
        <v>385</v>
      </c>
      <c r="C459" s="36" t="s">
        <v>35</v>
      </c>
      <c r="D459" s="36" t="s">
        <v>27</v>
      </c>
      <c r="E459" s="36" t="s">
        <v>155</v>
      </c>
      <c r="F459" s="28" t="s">
        <v>46</v>
      </c>
      <c r="G459" s="28" t="s">
        <v>38</v>
      </c>
      <c r="H459" s="63" t="str">
        <f>HYPERLINK("https://innovativeincomeinvestor.com/security/nustar-energy-lp-9-series-c-fixed-to-floating-rate-cumulative-redeemable-preferred-units/","NS-C")</f>
        <v>NS-C</v>
      </c>
      <c r="I459" s="47">
        <v>0.09</v>
      </c>
      <c r="J459" s="79" t="s">
        <v>68</v>
      </c>
      <c r="K459" s="86" t="s">
        <v>68</v>
      </c>
      <c r="L459" s="86" t="s">
        <v>68</v>
      </c>
      <c r="M459" s="86" t="s">
        <v>68</v>
      </c>
      <c r="N459" s="28" t="s">
        <v>31</v>
      </c>
      <c r="O459" s="28" t="s">
        <v>386</v>
      </c>
      <c r="P459" s="28" t="s">
        <v>387</v>
      </c>
      <c r="Q459" s="52" t="s">
        <v>47</v>
      </c>
      <c r="R459" s="64">
        <v>44910</v>
      </c>
      <c r="S459" s="54" t="s">
        <v>41</v>
      </c>
      <c r="T459" s="62" t="s">
        <v>52</v>
      </c>
      <c r="U459" s="16">
        <f t="shared" ca="1" si="254"/>
        <v>-2.56986301369863</v>
      </c>
      <c r="V459" s="11" t="str">
        <v>All</v>
      </c>
      <c r="X459" t="e">
        <f t="shared" ca="1" si="246"/>
        <v>#VALUE!</v>
      </c>
      <c r="Z459" s="17">
        <f t="shared" ca="1" si="247"/>
        <v>46213</v>
      </c>
      <c r="AG459" s="33" t="e">
        <f t="shared" ca="1" si="248"/>
        <v>#VALUE!</v>
      </c>
      <c r="AH459" t="e">
        <f t="shared" ca="1" si="249"/>
        <v>#VALUE!</v>
      </c>
      <c r="AI459" t="e">
        <f t="shared" ca="1" si="250"/>
        <v>#VALUE!</v>
      </c>
      <c r="AJ459" t="e">
        <f t="shared" ca="1" si="251"/>
        <v>#VALUE!</v>
      </c>
      <c r="AK459" t="e">
        <f t="shared" ca="1" si="252"/>
        <v>#VALUE!</v>
      </c>
    </row>
    <row r="460" spans="1:37" ht="17.25" customHeight="1">
      <c r="A460" s="19"/>
      <c r="B460" s="45" t="s">
        <v>385</v>
      </c>
      <c r="C460" s="36" t="s">
        <v>35</v>
      </c>
      <c r="D460" s="36" t="s">
        <v>27</v>
      </c>
      <c r="E460" s="36" t="s">
        <v>155</v>
      </c>
      <c r="F460" s="28" t="s">
        <v>46</v>
      </c>
      <c r="G460" s="28" t="s">
        <v>38</v>
      </c>
      <c r="H460" s="63" t="str">
        <f>HYPERLINK("https://innovativeincomeinvestor.com/security/nustar-energy-l-p-8-50-series-a-fixedfloat-cumul-red-perp-preferred-units/","NS-A")</f>
        <v>NS-A</v>
      </c>
      <c r="I460" s="47">
        <v>8.5000000000000006E-2</v>
      </c>
      <c r="J460" s="86" t="s">
        <v>68</v>
      </c>
      <c r="K460" s="86" t="s">
        <v>68</v>
      </c>
      <c r="L460" s="86" t="s">
        <v>68</v>
      </c>
      <c r="M460" s="86" t="s">
        <v>68</v>
      </c>
      <c r="N460" s="28" t="s">
        <v>31</v>
      </c>
      <c r="O460" s="28" t="s">
        <v>386</v>
      </c>
      <c r="P460" s="28" t="s">
        <v>387</v>
      </c>
      <c r="Q460" s="52" t="s">
        <v>47</v>
      </c>
      <c r="R460" s="64">
        <v>44545</v>
      </c>
      <c r="S460" s="54" t="s">
        <v>41</v>
      </c>
      <c r="T460" s="62" t="s">
        <v>52</v>
      </c>
      <c r="U460" s="16">
        <f t="shared" ca="1" si="254"/>
        <v>-3.56986301369863</v>
      </c>
      <c r="V460" s="11" t="str">
        <v>All</v>
      </c>
      <c r="X460" t="e">
        <f t="shared" ca="1" si="246"/>
        <v>#VALUE!</v>
      </c>
      <c r="Z460" s="17">
        <f t="shared" ca="1" si="247"/>
        <v>46213</v>
      </c>
      <c r="AG460" s="33" t="e">
        <f t="shared" ca="1" si="248"/>
        <v>#VALUE!</v>
      </c>
      <c r="AH460" t="e">
        <f t="shared" ca="1" si="249"/>
        <v>#VALUE!</v>
      </c>
      <c r="AI460" t="e">
        <f t="shared" ca="1" si="250"/>
        <v>#VALUE!</v>
      </c>
      <c r="AJ460" t="e">
        <f t="shared" ca="1" si="251"/>
        <v>#VALUE!</v>
      </c>
      <c r="AK460" t="e">
        <f t="shared" ca="1" si="252"/>
        <v>#VALUE!</v>
      </c>
    </row>
    <row r="461" spans="1:37" ht="17.25" customHeight="1">
      <c r="A461" s="19"/>
      <c r="B461" s="45" t="s">
        <v>385</v>
      </c>
      <c r="C461" s="36" t="s">
        <v>35</v>
      </c>
      <c r="D461" s="36" t="s">
        <v>27</v>
      </c>
      <c r="E461" s="28" t="s">
        <v>155</v>
      </c>
      <c r="F461" s="28" t="s">
        <v>46</v>
      </c>
      <c r="G461" s="28" t="s">
        <v>38</v>
      </c>
      <c r="H461" s="51" t="str">
        <f>HYPERLINK("https://innovativeincomeinvestor.com/security/nustar-energy-lp-7-625-series-c-fixed-to-floating-rate-cumulative-redeemable-perpetual-preferred-units/","NS-B")</f>
        <v>NS-B</v>
      </c>
      <c r="I461" s="47">
        <v>7.6249999999999998E-2</v>
      </c>
      <c r="J461" s="86" t="s">
        <v>68</v>
      </c>
      <c r="K461" s="86" t="s">
        <v>68</v>
      </c>
      <c r="L461" s="86" t="s">
        <v>68</v>
      </c>
      <c r="M461" s="86" t="s">
        <v>68</v>
      </c>
      <c r="N461" s="28" t="s">
        <v>31</v>
      </c>
      <c r="O461" s="28" t="s">
        <v>386</v>
      </c>
      <c r="P461" s="28" t="s">
        <v>387</v>
      </c>
      <c r="Q461" s="52" t="s">
        <v>47</v>
      </c>
      <c r="R461" s="64">
        <v>44727</v>
      </c>
      <c r="S461" s="54" t="s">
        <v>41</v>
      </c>
      <c r="T461" s="62" t="s">
        <v>52</v>
      </c>
      <c r="U461" s="16">
        <f t="shared" ca="1" si="254"/>
        <v>-3.0712328767123287</v>
      </c>
      <c r="V461" s="11" t="str">
        <v>All</v>
      </c>
      <c r="X461" t="e">
        <f t="shared" ca="1" si="246"/>
        <v>#VALUE!</v>
      </c>
      <c r="Z461" s="17">
        <f t="shared" ca="1" si="247"/>
        <v>46213</v>
      </c>
      <c r="AG461" s="33" t="e">
        <f t="shared" ca="1" si="248"/>
        <v>#VALUE!</v>
      </c>
      <c r="AH461" t="e">
        <f t="shared" ca="1" si="249"/>
        <v>#VALUE!</v>
      </c>
      <c r="AI461" t="e">
        <f t="shared" ca="1" si="250"/>
        <v>#VALUE!</v>
      </c>
      <c r="AJ461" t="e">
        <f t="shared" ca="1" si="251"/>
        <v>#VALUE!</v>
      </c>
      <c r="AK461" t="e">
        <f t="shared" ca="1" si="252"/>
        <v>#VALUE!</v>
      </c>
    </row>
    <row r="462" spans="1:37" ht="17.25" customHeight="1">
      <c r="A462" s="68"/>
      <c r="B462" s="69" t="s">
        <v>388</v>
      </c>
      <c r="C462" s="28" t="s">
        <v>27</v>
      </c>
      <c r="D462" s="28" t="s">
        <v>27</v>
      </c>
      <c r="E462" s="28" t="s">
        <v>155</v>
      </c>
      <c r="F462" s="28" t="s">
        <v>46</v>
      </c>
      <c r="G462" s="28" t="s">
        <v>30</v>
      </c>
      <c r="H462" s="66" t="str">
        <f>HYPERLINK("https://innovativeincomeinvestor.com/security/nustar-logistics-l-p-7-625-fixed-to-floating-rate-subordinated-notes-due-2043/","NSS")</f>
        <v>NSS</v>
      </c>
      <c r="I462" s="47">
        <v>7.6249999999999998E-2</v>
      </c>
      <c r="J462" s="86" t="s">
        <v>68</v>
      </c>
      <c r="K462" s="86" t="s">
        <v>68</v>
      </c>
      <c r="L462" s="86" t="s">
        <v>68</v>
      </c>
      <c r="M462" s="86" t="s">
        <v>68</v>
      </c>
      <c r="N462" s="28" t="s">
        <v>31</v>
      </c>
      <c r="O462" s="28" t="s">
        <v>254</v>
      </c>
      <c r="P462" s="28" t="s">
        <v>146</v>
      </c>
      <c r="Q462" s="52" t="s">
        <v>47</v>
      </c>
      <c r="R462" s="64">
        <v>43115</v>
      </c>
      <c r="S462" s="64">
        <v>52246</v>
      </c>
      <c r="T462" s="62" t="s">
        <v>60</v>
      </c>
      <c r="U462" s="16">
        <f t="shared" ca="1" si="254"/>
        <v>-7.4876712328767123</v>
      </c>
      <c r="V462" s="11" t="str">
        <v>All</v>
      </c>
      <c r="X462" t="e">
        <f t="shared" ca="1" si="246"/>
        <v>#VALUE!</v>
      </c>
      <c r="Z462" s="17">
        <f t="shared" ca="1" si="247"/>
        <v>46213</v>
      </c>
      <c r="AG462" s="33" t="e">
        <f t="shared" ca="1" si="248"/>
        <v>#VALUE!</v>
      </c>
      <c r="AH462" t="e">
        <f t="shared" ca="1" si="249"/>
        <v>#VALUE!</v>
      </c>
      <c r="AI462" t="e">
        <f t="shared" ca="1" si="250"/>
        <v>#VALUE!</v>
      </c>
      <c r="AJ462" t="e">
        <f t="shared" ca="1" si="251"/>
        <v>#VALUE!</v>
      </c>
      <c r="AK462" t="e">
        <f t="shared" ca="1" si="252"/>
        <v>#VALUE!</v>
      </c>
    </row>
    <row r="463" spans="1:37" ht="17.25" customHeight="1">
      <c r="A463" s="19"/>
      <c r="B463" s="45" t="s">
        <v>389</v>
      </c>
      <c r="C463" s="36" t="s">
        <v>27</v>
      </c>
      <c r="D463" s="36" t="s">
        <v>27</v>
      </c>
      <c r="E463" s="36" t="s">
        <v>171</v>
      </c>
      <c r="F463" s="36" t="s">
        <v>29</v>
      </c>
      <c r="G463" s="28" t="s">
        <v>38</v>
      </c>
      <c r="H463" s="63" t="str">
        <f>HYPERLINK("https://innovativeincomeinvestor.com/security/oaktree-capital/","OAK-A")</f>
        <v>OAK-A</v>
      </c>
      <c r="I463" s="47">
        <v>6.6250000000000003E-2</v>
      </c>
      <c r="J463" s="65">
        <f ca="1">IFERROR(__xludf.DUMMYFUNCTION("GoogleFinance(H463)"),22.37)</f>
        <v>22.37</v>
      </c>
      <c r="K463" s="48">
        <f ca="1">IFERROR(__xludf.DUMMYFUNCTION("googlefinance(H463,""change"")"),-0.12)</f>
        <v>-0.12</v>
      </c>
      <c r="L463" s="27">
        <f t="shared" ref="L463:L464" ca="1" si="255">(Q463*4)/J463</f>
        <v>7.4038891372373711E-2</v>
      </c>
      <c r="M463" s="27">
        <f t="shared" ref="M463:M464" ca="1" si="256">(25-J463)/25</f>
        <v>0.10519999999999996</v>
      </c>
      <c r="N463" s="28" t="s">
        <v>39</v>
      </c>
      <c r="O463" s="28" t="s">
        <v>50</v>
      </c>
      <c r="P463" s="28" t="s">
        <v>32</v>
      </c>
      <c r="Q463" s="29">
        <f>(I463*25)/4</f>
        <v>0.4140625</v>
      </c>
      <c r="R463" s="64">
        <v>45092</v>
      </c>
      <c r="S463" s="54" t="s">
        <v>41</v>
      </c>
      <c r="T463" s="62" t="s">
        <v>52</v>
      </c>
      <c r="U463" s="16">
        <f t="shared" ca="1" si="254"/>
        <v>-2.0712328767123287</v>
      </c>
      <c r="V463" s="11" t="str">
        <v>All</v>
      </c>
      <c r="X463">
        <f t="shared" ca="1" si="246"/>
        <v>0.18380660798247661</v>
      </c>
      <c r="Z463" s="17">
        <f t="shared" ca="1" si="247"/>
        <v>46213</v>
      </c>
      <c r="AG463" s="33">
        <f t="shared" ca="1" si="248"/>
        <v>0.12661452891680572</v>
      </c>
      <c r="AH463">
        <f t="shared" ca="1" si="249"/>
        <v>9.2797206690825182E-2</v>
      </c>
      <c r="AI463">
        <f t="shared" ca="1" si="250"/>
        <v>8.6449676103826742E-2</v>
      </c>
      <c r="AJ463">
        <f t="shared" ca="1" si="251"/>
        <v>8.1756426194525958E-2</v>
      </c>
      <c r="AK463">
        <f t="shared" ca="1" si="252"/>
        <v>7.657135428298821E-2</v>
      </c>
    </row>
    <row r="464" spans="1:37" ht="17.25" customHeight="1">
      <c r="A464" s="68"/>
      <c r="B464" s="69" t="s">
        <v>389</v>
      </c>
      <c r="C464" s="28" t="s">
        <v>27</v>
      </c>
      <c r="D464" s="28" t="s">
        <v>27</v>
      </c>
      <c r="E464" s="28" t="s">
        <v>171</v>
      </c>
      <c r="F464" s="36" t="s">
        <v>29</v>
      </c>
      <c r="G464" s="28" t="s">
        <v>38</v>
      </c>
      <c r="H464" s="66" t="str">
        <f>HYPERLINK("https://innovativeincomeinvestor.com/security/oaktree-capital-group-llc-6-55-series-b-preferred-units/","OAK-B")</f>
        <v>OAK-B</v>
      </c>
      <c r="I464" s="47">
        <v>6.5500000000000003E-2</v>
      </c>
      <c r="J464" s="65">
        <f ca="1">IFERROR(__xludf.DUMMYFUNCTION("GoogleFinance(H464)"),21.6)</f>
        <v>21.6</v>
      </c>
      <c r="K464" s="48">
        <f ca="1">IFERROR(__xludf.DUMMYFUNCTION("googlefinance(H464,""change"")"),0.03)</f>
        <v>0.03</v>
      </c>
      <c r="L464" s="27">
        <f t="shared" ca="1" si="255"/>
        <v>7.5740740740740733E-2</v>
      </c>
      <c r="M464" s="27">
        <f t="shared" ca="1" si="256"/>
        <v>0.13599999999999995</v>
      </c>
      <c r="N464" s="28" t="s">
        <v>39</v>
      </c>
      <c r="O464" s="28" t="s">
        <v>50</v>
      </c>
      <c r="P464" s="28" t="s">
        <v>32</v>
      </c>
      <c r="Q464" s="65">
        <v>0.40899999999999997</v>
      </c>
      <c r="R464" s="64">
        <v>45184</v>
      </c>
      <c r="S464" s="28" t="s">
        <v>41</v>
      </c>
      <c r="T464" s="62" t="s">
        <v>52</v>
      </c>
      <c r="U464" s="16">
        <f t="shared" ca="1" si="254"/>
        <v>-1.8191780821917809</v>
      </c>
      <c r="V464" s="11" t="str">
        <v>All</v>
      </c>
      <c r="X464">
        <f t="shared" ca="1" si="246"/>
        <v>0.22076902072419244</v>
      </c>
      <c r="Z464" s="17">
        <f t="shared" ca="1" si="247"/>
        <v>46213</v>
      </c>
      <c r="AG464" s="33">
        <f t="shared" ca="1" si="248"/>
        <v>0.14505744100030879</v>
      </c>
      <c r="AH464">
        <f t="shared" ca="1" si="249"/>
        <v>0.10044734088299968</v>
      </c>
      <c r="AI464">
        <f t="shared" ca="1" si="250"/>
        <v>9.2088357940080787E-2</v>
      </c>
      <c r="AJ464">
        <f t="shared" ca="1" si="251"/>
        <v>8.5912026857247012E-2</v>
      </c>
      <c r="AK464">
        <f t="shared" ca="1" si="252"/>
        <v>7.9098857477336484E-2</v>
      </c>
    </row>
    <row r="465" spans="1:37" ht="17.25" customHeight="1">
      <c r="A465" s="68"/>
      <c r="B465" s="69" t="s">
        <v>390</v>
      </c>
      <c r="C465" s="28" t="s">
        <v>27</v>
      </c>
      <c r="D465" s="28" t="s">
        <v>35</v>
      </c>
      <c r="E465" s="28" t="s">
        <v>110</v>
      </c>
      <c r="F465" s="36" t="s">
        <v>46</v>
      </c>
      <c r="G465" s="28" t="s">
        <v>38</v>
      </c>
      <c r="H465" s="83" t="str">
        <f>HYPERLINK("https://innovativeincomeinvestor.com/security/oceanfirst-financial-7-00-fixed-to-floating-rate-non-cumulative-perpetual-preferred-stock-series-a/","OCFCP")</f>
        <v>OCFCP</v>
      </c>
      <c r="I465" s="47">
        <v>7.0000000000000007E-2</v>
      </c>
      <c r="J465" s="79" t="s">
        <v>68</v>
      </c>
      <c r="K465" s="80" t="s">
        <v>68</v>
      </c>
      <c r="L465" s="81" t="s">
        <v>68</v>
      </c>
      <c r="M465" s="27" t="e">
        <f t="array" aca="1" ref="M465" ca="1">L465*U465+(25-J465)/25/U465</f>
        <v>#VALUE!</v>
      </c>
      <c r="N465" s="28" t="s">
        <v>31</v>
      </c>
      <c r="O465" s="28" t="s">
        <v>32</v>
      </c>
      <c r="P465" s="28" t="s">
        <v>32</v>
      </c>
      <c r="Q465" s="65">
        <v>0.44</v>
      </c>
      <c r="R465" s="64">
        <v>45809</v>
      </c>
      <c r="S465" s="28" t="s">
        <v>41</v>
      </c>
      <c r="T465" s="62" t="s">
        <v>33</v>
      </c>
      <c r="U465" s="16">
        <f t="shared" ca="1" si="254"/>
        <v>-0.10684931506849316</v>
      </c>
      <c r="V465" s="11" t="str">
        <v>All</v>
      </c>
      <c r="X465" t="e">
        <f t="shared" ca="1" si="246"/>
        <v>#VALUE!</v>
      </c>
      <c r="Z465" s="17">
        <f t="shared" ca="1" si="247"/>
        <v>46213</v>
      </c>
      <c r="AG465" s="33" t="e">
        <f t="shared" ca="1" si="248"/>
        <v>#VALUE!</v>
      </c>
      <c r="AH465" t="e">
        <f t="shared" ca="1" si="249"/>
        <v>#VALUE!</v>
      </c>
      <c r="AI465" t="e">
        <f t="shared" ca="1" si="250"/>
        <v>#VALUE!</v>
      </c>
      <c r="AJ465" t="e">
        <f t="shared" ca="1" si="251"/>
        <v>#VALUE!</v>
      </c>
      <c r="AK465" t="e">
        <f t="shared" ca="1" si="252"/>
        <v>#VALUE!</v>
      </c>
    </row>
    <row r="466" spans="1:37" ht="17.25" customHeight="1">
      <c r="A466" s="19"/>
      <c r="B466" s="45" t="s">
        <v>391</v>
      </c>
      <c r="C466" s="28" t="s">
        <v>27</v>
      </c>
      <c r="D466" s="28" t="s">
        <v>27</v>
      </c>
      <c r="E466" s="28" t="s">
        <v>63</v>
      </c>
      <c r="F466" s="36" t="s">
        <v>29</v>
      </c>
      <c r="G466" s="28" t="s">
        <v>30</v>
      </c>
      <c r="H466" s="83" t="str">
        <f>HYPERLINK("https://innovativeincomeinvestor.com/security/office-properties-income-trust-6-375-senior-notes-due-2050/","OPINL")</f>
        <v>OPINL</v>
      </c>
      <c r="I466" s="47">
        <v>7.0000000000000007E-2</v>
      </c>
      <c r="J466" s="128">
        <f ca="1">IFERROR(__xludf.DUMMYFUNCTION("GOOGLEFINANCE(H466)"),6.5)</f>
        <v>6.5</v>
      </c>
      <c r="K466" s="26">
        <f ca="1">IFERROR(__xludf.DUMMYFUNCTION("GOOGLEFINANCE(H466,""change"")"),-0.02)</f>
        <v>-0.02</v>
      </c>
      <c r="L466" s="27">
        <f ca="1">(Q466*4)/J466</f>
        <v>0.24516923076923075</v>
      </c>
      <c r="M466" s="27">
        <f ca="1">(25-J466)/25</f>
        <v>0.74</v>
      </c>
      <c r="N466" s="28" t="s">
        <v>39</v>
      </c>
      <c r="O466" s="28" t="s">
        <v>55</v>
      </c>
      <c r="P466" s="28" t="s">
        <v>64</v>
      </c>
      <c r="Q466" s="65">
        <v>0.39839999999999998</v>
      </c>
      <c r="R466" s="64">
        <v>45831</v>
      </c>
      <c r="S466" s="64">
        <v>54962</v>
      </c>
      <c r="T466" s="62" t="s">
        <v>81</v>
      </c>
      <c r="U466" s="16">
        <f t="shared" ca="1" si="254"/>
        <v>-4.6575342465753428E-2</v>
      </c>
      <c r="V466" s="11" t="str">
        <v>All</v>
      </c>
      <c r="X466">
        <f t="shared" ca="1" si="246"/>
        <v>1.7780643724478151</v>
      </c>
      <c r="Z466" s="17">
        <f t="shared" ca="1" si="247"/>
        <v>46213</v>
      </c>
      <c r="AG466" s="33">
        <f t="shared" ca="1" si="248"/>
        <v>0.89902304146567324</v>
      </c>
      <c r="AH466">
        <f t="shared" ca="1" si="249"/>
        <v>0.44449410326759209</v>
      </c>
      <c r="AI466">
        <f t="shared" ca="1" si="250"/>
        <v>0.36715200153185362</v>
      </c>
      <c r="AJ466">
        <f t="shared" ca="1" si="251"/>
        <v>0.31477505820712992</v>
      </c>
      <c r="AK466">
        <f t="shared" ca="1" si="252"/>
        <v>0.2731733773344569</v>
      </c>
    </row>
    <row r="467" spans="1:37" ht="17.25" customHeight="1">
      <c r="A467" s="19"/>
      <c r="B467" s="100" t="s">
        <v>392</v>
      </c>
      <c r="C467" s="28" t="s">
        <v>27</v>
      </c>
      <c r="D467" s="28" t="s">
        <v>27</v>
      </c>
      <c r="E467" s="71" t="s">
        <v>171</v>
      </c>
      <c r="F467" s="36" t="s">
        <v>29</v>
      </c>
      <c r="G467" s="28" t="s">
        <v>30</v>
      </c>
      <c r="H467" s="23" t="str">
        <f>HYPERLINK("https://innovativeincomeinvestor.com/security/ofs-capital-corporation-5-95-notes-due-2026/","OFSSI")</f>
        <v>OFSSI</v>
      </c>
      <c r="I467" s="73">
        <v>5.9499999999999997E-2</v>
      </c>
      <c r="J467" s="79" t="s">
        <v>68</v>
      </c>
      <c r="K467" s="86" t="s">
        <v>68</v>
      </c>
      <c r="L467" s="86" t="s">
        <v>68</v>
      </c>
      <c r="M467" s="86" t="s">
        <v>68</v>
      </c>
      <c r="N467" s="28" t="s">
        <v>31</v>
      </c>
      <c r="O467" s="28" t="s">
        <v>32</v>
      </c>
      <c r="P467" s="28" t="s">
        <v>32</v>
      </c>
      <c r="Q467" s="29">
        <f>(I467*25)/4</f>
        <v>0.37187499999999996</v>
      </c>
      <c r="R467" s="64">
        <v>44500</v>
      </c>
      <c r="S467" s="77">
        <v>45596</v>
      </c>
      <c r="T467" s="78" t="s">
        <v>79</v>
      </c>
      <c r="U467" s="16">
        <f t="shared" ca="1" si="254"/>
        <v>-3.6931506849315068</v>
      </c>
      <c r="V467" s="11" t="str">
        <v>All</v>
      </c>
      <c r="X467" t="e">
        <f t="shared" ca="1" si="246"/>
        <v>#VALUE!</v>
      </c>
      <c r="Z467" s="17">
        <f t="shared" ca="1" si="247"/>
        <v>46213</v>
      </c>
      <c r="AG467" s="33" t="e">
        <f t="shared" ca="1" si="248"/>
        <v>#VALUE!</v>
      </c>
      <c r="AH467" t="e">
        <f t="shared" ca="1" si="249"/>
        <v>#VALUE!</v>
      </c>
      <c r="AI467" t="e">
        <f t="shared" ca="1" si="250"/>
        <v>#VALUE!</v>
      </c>
      <c r="AJ467" t="e">
        <f t="shared" ca="1" si="251"/>
        <v>#VALUE!</v>
      </c>
      <c r="AK467" t="e">
        <f t="shared" ca="1" si="252"/>
        <v>#VALUE!</v>
      </c>
    </row>
    <row r="468" spans="1:37" ht="17.25" customHeight="1">
      <c r="A468" s="19"/>
      <c r="B468" s="100" t="s">
        <v>392</v>
      </c>
      <c r="C468" s="71" t="s">
        <v>27</v>
      </c>
      <c r="D468" s="71" t="s">
        <v>27</v>
      </c>
      <c r="E468" s="71" t="s">
        <v>171</v>
      </c>
      <c r="F468" s="36" t="s">
        <v>29</v>
      </c>
      <c r="G468" s="28" t="s">
        <v>30</v>
      </c>
      <c r="H468" s="83" t="str">
        <f>HYPERLINK("https://innovativeincomeinvestor.com/security/ofs-capital-corporation-4-95-notes-due-2028/","OFSSH")</f>
        <v>OFSSH</v>
      </c>
      <c r="I468" s="73">
        <v>4.9500000000000002E-2</v>
      </c>
      <c r="J468" s="56">
        <f ca="1">IFERROR(__xludf.DUMMYFUNCTION("importxml(""https://bigcharts.marketwatch.com/quickchart/quickchart.asp?symb=OFSSH&amp;insttype=Stock"",""/html/body/div[1]/div[2]/table/tbody/tr/td[1]/table/tbody/tr[3]/td[1]/div"")"),23.42)</f>
        <v>23.42</v>
      </c>
      <c r="K468" s="48" t="s">
        <v>49</v>
      </c>
      <c r="L468" s="27">
        <f ca="1">(Q468*4)/J468</f>
        <v>5.2946199829205801E-2</v>
      </c>
      <c r="M468" s="75">
        <f t="array" aca="1" ref="M468" ca="1">L468*U468+(25-J468)/25/U468</f>
        <v>-0.12697275534676414</v>
      </c>
      <c r="N468" s="28" t="s">
        <v>31</v>
      </c>
      <c r="O468" s="28" t="s">
        <v>32</v>
      </c>
      <c r="P468" s="71" t="s">
        <v>32</v>
      </c>
      <c r="Q468" s="76">
        <v>0.31</v>
      </c>
      <c r="R468" s="77">
        <v>45230</v>
      </c>
      <c r="S468" s="77">
        <v>47057</v>
      </c>
      <c r="T468" s="78" t="s">
        <v>79</v>
      </c>
      <c r="U468" s="16">
        <f t="shared" ca="1" si="254"/>
        <v>-1.6931506849315068</v>
      </c>
      <c r="V468" s="11" t="str">
        <v>All</v>
      </c>
      <c r="X468">
        <f t="shared" ca="1" si="246"/>
        <v>0.11740454146936893</v>
      </c>
      <c r="Z468" s="17">
        <f t="shared" ca="1" si="247"/>
        <v>46213</v>
      </c>
      <c r="AG468" s="33">
        <f t="shared" ca="1" si="248"/>
        <v>8.4164708298034241E-2</v>
      </c>
      <c r="AH468">
        <f t="shared" ca="1" si="249"/>
        <v>6.4391124669092706E-2</v>
      </c>
      <c r="AI468">
        <f t="shared" ca="1" si="250"/>
        <v>6.0654515254430941E-2</v>
      </c>
      <c r="AJ468">
        <f t="shared" ca="1" si="251"/>
        <v>5.7871710637966735E-2</v>
      </c>
      <c r="AK468">
        <f t="shared" ca="1" si="252"/>
        <v>5.4719601701503522E-2</v>
      </c>
    </row>
    <row r="469" spans="1:37" ht="17.25" customHeight="1">
      <c r="A469" s="19"/>
      <c r="B469" s="100" t="s">
        <v>393</v>
      </c>
      <c r="C469" s="71" t="s">
        <v>35</v>
      </c>
      <c r="D469" s="71" t="s">
        <v>36</v>
      </c>
      <c r="E469" s="71" t="s">
        <v>176</v>
      </c>
      <c r="F469" s="71" t="s">
        <v>29</v>
      </c>
      <c r="G469" s="71" t="s">
        <v>177</v>
      </c>
      <c r="H469" s="101" t="str">
        <f>HYPERLINK("https://innovativeincomeinvestor.com/security/ofs-credit-inc-6-125-series-c-term-preferred-stock-due-2026/","OCCIO")</f>
        <v>OCCIO</v>
      </c>
      <c r="I469" s="73">
        <v>6.1249999999999999E-2</v>
      </c>
      <c r="J469" s="168">
        <f ca="1">IFERROR(__xludf.DUMMYFUNCTION("GoogleFinance(H469)"),24.72)</f>
        <v>24.72</v>
      </c>
      <c r="K469" s="102">
        <f ca="1">IFERROR(__xludf.DUMMYFUNCTION("googlefinance(H469,""change"")"),-0.07)</f>
        <v>-7.0000000000000007E-2</v>
      </c>
      <c r="L469" s="75">
        <f t="shared" ref="L469:L471" ca="1" si="257">Q469*12/J469</f>
        <v>6.3106796116504854E-2</v>
      </c>
      <c r="M469" s="75">
        <f ca="1">(25-J469)/25</f>
        <v>1.1200000000000045E-2</v>
      </c>
      <c r="N469" s="71" t="s">
        <v>31</v>
      </c>
      <c r="O469" s="75" t="s">
        <v>32</v>
      </c>
      <c r="P469" s="75" t="s">
        <v>32</v>
      </c>
      <c r="Q469" s="76">
        <v>0.13</v>
      </c>
      <c r="R469" s="77">
        <v>45046</v>
      </c>
      <c r="S469" s="158">
        <v>46142</v>
      </c>
      <c r="T469" s="78" t="s">
        <v>178</v>
      </c>
      <c r="U469" s="16">
        <f t="shared" ca="1" si="254"/>
        <v>-2.1972602739726028</v>
      </c>
      <c r="V469" s="11" t="str">
        <v>All</v>
      </c>
      <c r="X469">
        <f t="shared" ca="1" si="246"/>
        <v>7.2965373662310734E-2</v>
      </c>
      <c r="Z469" s="17">
        <f t="shared" ca="1" si="247"/>
        <v>46213</v>
      </c>
      <c r="AG469" s="33">
        <f t="shared" ca="1" si="248"/>
        <v>6.728212386146612E-2</v>
      </c>
      <c r="AH469">
        <f t="shared" ca="1" si="249"/>
        <v>6.3885394833813017E-2</v>
      </c>
      <c r="AI469">
        <f t="shared" ca="1" si="250"/>
        <v>6.3243419979022858E-2</v>
      </c>
      <c r="AJ469">
        <f t="shared" ca="1" si="251"/>
        <v>6.2766767026829554E-2</v>
      </c>
      <c r="AK469">
        <f t="shared" ca="1" si="252"/>
        <v>6.2232628080388624E-2</v>
      </c>
    </row>
    <row r="470" spans="1:37" ht="17.25" customHeight="1">
      <c r="A470" s="19"/>
      <c r="B470" s="100" t="s">
        <v>393</v>
      </c>
      <c r="C470" s="71" t="s">
        <v>35</v>
      </c>
      <c r="D470" s="71" t="s">
        <v>36</v>
      </c>
      <c r="E470" s="71" t="s">
        <v>176</v>
      </c>
      <c r="F470" s="71" t="s">
        <v>29</v>
      </c>
      <c r="G470" s="71" t="s">
        <v>177</v>
      </c>
      <c r="H470" s="101" t="str">
        <f>HYPERLINK("https://innovativeincomeinvestor.com/security/ofs-credit-company-inc-5-25-series-e-term-preferred-stock-due-2026/","OCCIN")</f>
        <v>OCCIN</v>
      </c>
      <c r="I470" s="73">
        <v>5.2499999999999998E-2</v>
      </c>
      <c r="J470" s="166">
        <f ca="1">IFERROR(__xludf.DUMMYFUNCTION("importxml(""https://bigcharts.marketwatch.com/quickchart/quickchart.asp?symb=OCCIN&amp;insttype=Stock"",""/html/body/div[1]/div[2]/table/tbody/tr/td[1]/table/tbody/tr[3]/td[1]/div"")"),24.13)</f>
        <v>24.13</v>
      </c>
      <c r="K470" s="215">
        <f ca="1">IFERROR(__xludf.DUMMYFUNCTION("googlefinance(H470,""change"")"),-0.07)</f>
        <v>-7.0000000000000007E-2</v>
      </c>
      <c r="L470" s="190">
        <f t="shared" ca="1" si="257"/>
        <v>5.4206382096974724E-2</v>
      </c>
      <c r="M470" s="190">
        <f t="shared" ref="M470:M473" ca="1" si="258">L470*U470+(25-J470)/25/U470</f>
        <v>-0.10552473298346975</v>
      </c>
      <c r="N470" s="192" t="s">
        <v>31</v>
      </c>
      <c r="O470" s="190" t="s">
        <v>32</v>
      </c>
      <c r="P470" s="190" t="s">
        <v>32</v>
      </c>
      <c r="Q470" s="216">
        <v>0.109</v>
      </c>
      <c r="R470" s="77">
        <v>45291</v>
      </c>
      <c r="S470" s="158">
        <v>46387</v>
      </c>
      <c r="T470" s="78" t="s">
        <v>178</v>
      </c>
      <c r="U470" s="16">
        <f t="shared" ca="1" si="254"/>
        <v>-1.526027397260274</v>
      </c>
      <c r="V470" s="11" t="str">
        <v>All</v>
      </c>
      <c r="X470">
        <f t="shared" ca="1" si="246"/>
        <v>8.9262889343800542E-2</v>
      </c>
      <c r="Z470" s="17">
        <f t="shared" ca="1" si="247"/>
        <v>46213</v>
      </c>
      <c r="AG470" s="33">
        <f t="shared" ca="1" si="248"/>
        <v>7.1324965568604376E-2</v>
      </c>
      <c r="AH470">
        <f t="shared" ca="1" si="249"/>
        <v>6.0623894338728168E-2</v>
      </c>
      <c r="AI470">
        <f t="shared" ca="1" si="250"/>
        <v>5.8599968968291415E-2</v>
      </c>
      <c r="AJ470">
        <f t="shared" ca="1" si="251"/>
        <v>5.7093191270562858E-2</v>
      </c>
      <c r="AK470">
        <f t="shared" ca="1" si="252"/>
        <v>5.5389770346956198E-2</v>
      </c>
    </row>
    <row r="471" spans="1:37" ht="17.25" customHeight="1">
      <c r="A471" s="19"/>
      <c r="B471" s="100" t="s">
        <v>393</v>
      </c>
      <c r="C471" s="71" t="s">
        <v>35</v>
      </c>
      <c r="D471" s="71" t="s">
        <v>36</v>
      </c>
      <c r="E471" s="71" t="s">
        <v>176</v>
      </c>
      <c r="F471" s="71" t="s">
        <v>29</v>
      </c>
      <c r="G471" s="71" t="s">
        <v>177</v>
      </c>
      <c r="H471" s="130" t="str">
        <f>HYPERLINK("https://innovativeincomeinvestor.com/security/ofs-credit-7-875-series-f-term-preferred-stock-due-2029/","OCCIM")</f>
        <v>OCCIM</v>
      </c>
      <c r="I471" s="73">
        <v>7.8750000000000001E-2</v>
      </c>
      <c r="J471" s="168">
        <f ca="1">IFERROR(__xludf.DUMMYFUNCTION("GoogleFinance(H471)"),24.94)</f>
        <v>24.94</v>
      </c>
      <c r="K471" s="215">
        <f ca="1">IFERROR(__xludf.DUMMYFUNCTION("googlefinance(H471,""change"")"),-0.03)</f>
        <v>-0.03</v>
      </c>
      <c r="L471" s="190">
        <f t="shared" ca="1" si="257"/>
        <v>7.9390537289494786E-2</v>
      </c>
      <c r="M471" s="190">
        <f t="shared" ca="1" si="258"/>
        <v>0.10580161358430056</v>
      </c>
      <c r="N471" s="192" t="s">
        <v>31</v>
      </c>
      <c r="O471" s="190" t="s">
        <v>32</v>
      </c>
      <c r="P471" s="190" t="s">
        <v>32</v>
      </c>
      <c r="Q471" s="216">
        <v>0.16500000000000001</v>
      </c>
      <c r="R471" s="77">
        <v>46326</v>
      </c>
      <c r="S471" s="158">
        <v>47422</v>
      </c>
      <c r="T471" s="78" t="s">
        <v>178</v>
      </c>
      <c r="U471" s="16">
        <f t="shared" ca="1" si="254"/>
        <v>1.3095890410958904</v>
      </c>
      <c r="V471" s="11" t="str">
        <v>All</v>
      </c>
      <c r="X471">
        <f t="shared" ca="1" si="246"/>
        <v>8.127313564671991E-2</v>
      </c>
      <c r="Z471" s="17">
        <f t="shared" ca="1" si="247"/>
        <v>46213</v>
      </c>
      <c r="AG471" s="33">
        <f t="shared" ca="1" si="248"/>
        <v>8.0060579514845645E-2</v>
      </c>
      <c r="AH471">
        <f t="shared" ca="1" si="249"/>
        <v>7.933591290754137E-2</v>
      </c>
      <c r="AI471">
        <f t="shared" ca="1" si="250"/>
        <v>7.919941596252654E-2</v>
      </c>
      <c r="AJ471">
        <f t="shared" ca="1" si="251"/>
        <v>7.9099070151805478E-2</v>
      </c>
      <c r="AK471">
        <f t="shared" ca="1" si="252"/>
        <v>7.8988791294667945E-2</v>
      </c>
    </row>
    <row r="472" spans="1:37" ht="17.25" customHeight="1">
      <c r="A472" s="19"/>
      <c r="B472" s="45" t="s">
        <v>394</v>
      </c>
      <c r="C472" s="36" t="s">
        <v>27</v>
      </c>
      <c r="D472" s="28" t="s">
        <v>35</v>
      </c>
      <c r="E472" s="28" t="s">
        <v>110</v>
      </c>
      <c r="F472" s="36" t="s">
        <v>29</v>
      </c>
      <c r="G472" s="28" t="s">
        <v>38</v>
      </c>
      <c r="H472" s="23" t="str">
        <f>HYPERLINK("https://innovativeincomeinvestor.com/security/first-midwest-bancorp-inc-7-00-fixed-rate-non-cumulative-perpetual-preferrd-stock-series-a/","ONBPP")</f>
        <v>ONBPP</v>
      </c>
      <c r="I472" s="47">
        <v>7.0000000000000007E-2</v>
      </c>
      <c r="J472" s="25">
        <f ca="1">IFERROR(__xludf.DUMMYFUNCTION("GoogleFinance(H472)"),25.12)</f>
        <v>25.12</v>
      </c>
      <c r="K472" s="26">
        <f ca="1">IFERROR(__xludf.DUMMYFUNCTION("GOOGLEFINANCE(H472,""change"")"),-0.13)</f>
        <v>-0.13</v>
      </c>
      <c r="L472" s="27">
        <f t="shared" ref="L472:L473" ca="1" si="259">Q472*4/J472</f>
        <v>6.96656050955414E-2</v>
      </c>
      <c r="M472" s="27">
        <f t="shared" ca="1" si="258"/>
        <v>-3.4906255785793525E-2</v>
      </c>
      <c r="N472" s="28" t="s">
        <v>31</v>
      </c>
      <c r="O472" s="27" t="s">
        <v>32</v>
      </c>
      <c r="P472" s="27" t="s">
        <v>32</v>
      </c>
      <c r="Q472" s="65">
        <v>0.4375</v>
      </c>
      <c r="R472" s="82">
        <v>45889</v>
      </c>
      <c r="S472" s="54" t="s">
        <v>41</v>
      </c>
      <c r="T472" s="62" t="s">
        <v>167</v>
      </c>
      <c r="U472" s="16">
        <f t="shared" ca="1" si="254"/>
        <v>0.11232876712328767</v>
      </c>
      <c r="V472" s="11" t="str">
        <v>All</v>
      </c>
      <c r="X472">
        <f t="shared" ca="1" si="246"/>
        <v>6.500341805717888E-2</v>
      </c>
      <c r="Z472" s="17">
        <f t="shared" ca="1" si="247"/>
        <v>46213</v>
      </c>
      <c r="AG472" s="33">
        <f t="shared" ca="1" si="248"/>
        <v>6.7414432973237015E-2</v>
      </c>
      <c r="AH472">
        <f t="shared" ca="1" si="249"/>
        <v>6.8856199609573635E-2</v>
      </c>
      <c r="AI472">
        <f t="shared" ca="1" si="250"/>
        <v>6.91281257892047E-2</v>
      </c>
      <c r="AJ472">
        <f t="shared" ca="1" si="251"/>
        <v>6.9329833808997807E-2</v>
      </c>
      <c r="AK472">
        <f t="shared" ca="1" si="252"/>
        <v>6.9552909809335678E-2</v>
      </c>
    </row>
    <row r="473" spans="1:37" ht="17.25" customHeight="1">
      <c r="A473" s="19"/>
      <c r="B473" s="100" t="s">
        <v>394</v>
      </c>
      <c r="C473" s="71" t="s">
        <v>27</v>
      </c>
      <c r="D473" s="71" t="s">
        <v>35</v>
      </c>
      <c r="E473" s="71" t="s">
        <v>110</v>
      </c>
      <c r="F473" s="71" t="s">
        <v>29</v>
      </c>
      <c r="G473" s="71" t="s">
        <v>38</v>
      </c>
      <c r="H473" s="217" t="str">
        <f>HYPERLINK("https://innovativeincomeinvestor.com/security/old-national-bancorp-7-series-c-preferred-stock/","ONBPO")</f>
        <v>ONBPO</v>
      </c>
      <c r="I473" s="73">
        <v>7.0000000000000007E-2</v>
      </c>
      <c r="J473" s="25">
        <f ca="1">IFERROR(__xludf.DUMMYFUNCTION("GoogleFinance(H473)"),24.87)</f>
        <v>24.87</v>
      </c>
      <c r="K473" s="26">
        <f ca="1">IFERROR(__xludf.DUMMYFUNCTION("GOOGLEFINANCE(H473,""change"")"),-0.01)</f>
        <v>-0.01</v>
      </c>
      <c r="L473" s="27">
        <f t="shared" ca="1" si="259"/>
        <v>7.0767993566546034E-2</v>
      </c>
      <c r="M473" s="27">
        <f t="shared" ca="1" si="258"/>
        <v>5.4241964395947785E-2</v>
      </c>
      <c r="N473" s="28" t="s">
        <v>31</v>
      </c>
      <c r="O473" s="27" t="s">
        <v>32</v>
      </c>
      <c r="P473" s="27" t="s">
        <v>32</v>
      </c>
      <c r="Q473" s="76">
        <v>0.44</v>
      </c>
      <c r="R473" s="158">
        <v>45889</v>
      </c>
      <c r="S473" s="71" t="s">
        <v>41</v>
      </c>
      <c r="T473" s="78" t="s">
        <v>167</v>
      </c>
      <c r="U473" s="16">
        <f t="shared" ca="1" si="254"/>
        <v>0.11232876712328767</v>
      </c>
      <c r="V473" s="11" t="str">
        <v>All</v>
      </c>
      <c r="X473">
        <f t="shared" ca="1" si="246"/>
        <v>7.5447495100603224E-2</v>
      </c>
      <c r="Z473" s="17">
        <f t="shared" ca="1" si="247"/>
        <v>46213</v>
      </c>
      <c r="AG473" s="33">
        <f t="shared" ca="1" si="248"/>
        <v>7.2817472442029477E-2</v>
      </c>
      <c r="AH473">
        <f t="shared" ca="1" si="249"/>
        <v>7.1245523175013065E-2</v>
      </c>
      <c r="AI473">
        <f t="shared" ca="1" si="250"/>
        <v>7.0948942333421194E-2</v>
      </c>
      <c r="AJ473">
        <f t="shared" ca="1" si="251"/>
        <v>7.0729609177328109E-2</v>
      </c>
      <c r="AK473">
        <f t="shared" ca="1" si="252"/>
        <v>7.0486310749794612E-2</v>
      </c>
    </row>
    <row r="474" spans="1:37" ht="17.25" customHeight="1">
      <c r="A474" s="19"/>
      <c r="B474" s="218" t="s">
        <v>395</v>
      </c>
      <c r="C474" s="71" t="s">
        <v>35</v>
      </c>
      <c r="D474" s="71" t="s">
        <v>35</v>
      </c>
      <c r="E474" s="71" t="s">
        <v>117</v>
      </c>
      <c r="F474" s="71" t="s">
        <v>29</v>
      </c>
      <c r="G474" s="71" t="s">
        <v>38</v>
      </c>
      <c r="H474" s="219" t="str">
        <f>HYPERLINK("https://innovativeincomeinvestor.com/security/ladenburg-thalman-financial-services-8-00-series-a-cumul-redeem-pfd-stock/","LTSAP")</f>
        <v>LTSAP</v>
      </c>
      <c r="I474" s="73">
        <v>0.08</v>
      </c>
      <c r="J474" s="25">
        <f ca="1">IFERROR(__xludf.DUMMYFUNCTION("GoogleFinance(H474)"),17)</f>
        <v>17</v>
      </c>
      <c r="K474" s="26">
        <f ca="1">IFERROR(__xludf.DUMMYFUNCTION("GOOGLEFINANCE(H474,""change"")"),-1)</f>
        <v>-1</v>
      </c>
      <c r="L474" s="27">
        <f ca="1">Q474*12/J474</f>
        <v>0.12</v>
      </c>
      <c r="M474" s="27">
        <f t="shared" ref="M474:M478" ca="1" si="260">(25-J474)/25</f>
        <v>0.32</v>
      </c>
      <c r="N474" s="28" t="s">
        <v>31</v>
      </c>
      <c r="O474" s="27" t="s">
        <v>32</v>
      </c>
      <c r="P474" s="27" t="s">
        <v>32</v>
      </c>
      <c r="Q474" s="65">
        <v>0.17</v>
      </c>
      <c r="R474" s="82">
        <v>43244</v>
      </c>
      <c r="S474" s="54" t="s">
        <v>41</v>
      </c>
      <c r="T474" s="62" t="s">
        <v>396</v>
      </c>
      <c r="U474" s="16">
        <f t="shared" ca="1" si="254"/>
        <v>-7.1342465753424653</v>
      </c>
      <c r="V474" s="11" t="str">
        <v>All</v>
      </c>
      <c r="X474">
        <f t="shared" ca="1" si="246"/>
        <v>0.50754842970343095</v>
      </c>
      <c r="Z474" s="17">
        <f t="shared" ca="1" si="247"/>
        <v>46213</v>
      </c>
      <c r="AG474" s="33">
        <f t="shared" ca="1" si="248"/>
        <v>0.29814134535373421</v>
      </c>
      <c r="AH474">
        <f t="shared" ca="1" si="249"/>
        <v>0.17801053021340008</v>
      </c>
      <c r="AI474">
        <f t="shared" ca="1" si="250"/>
        <v>0.15595530835434659</v>
      </c>
      <c r="AJ474">
        <f t="shared" ca="1" si="251"/>
        <v>0.13993880144339121</v>
      </c>
      <c r="AK474">
        <f t="shared" ca="1" si="252"/>
        <v>0.12326579715696685</v>
      </c>
    </row>
    <row r="475" spans="1:37" ht="17.25" customHeight="1">
      <c r="A475" s="19"/>
      <c r="B475" s="218" t="s">
        <v>395</v>
      </c>
      <c r="C475" s="71" t="s">
        <v>27</v>
      </c>
      <c r="D475" s="71" t="s">
        <v>27</v>
      </c>
      <c r="E475" s="71" t="s">
        <v>117</v>
      </c>
      <c r="F475" s="71" t="s">
        <v>29</v>
      </c>
      <c r="G475" s="71" t="s">
        <v>30</v>
      </c>
      <c r="H475" s="219" t="str">
        <f>HYPERLINK("https://innovativeincomeinvestor.com/security/ladenburg-thalmann-financial-services-inc-6-50-senior-notes-due-2027/","LTSL")</f>
        <v>LTSL</v>
      </c>
      <c r="I475" s="73">
        <v>6.5000000000000002E-2</v>
      </c>
      <c r="J475" s="25">
        <f ca="1">IFERROR(__xludf.DUMMYFUNCTION("GoogleFinance(H475)"),20.6)</f>
        <v>20.6</v>
      </c>
      <c r="K475" s="26">
        <f ca="1">IFERROR(__xludf.DUMMYFUNCTION("GOOGLEFINANCE(H475,""change"")"),0)</f>
        <v>0</v>
      </c>
      <c r="L475" s="27">
        <f t="shared" ref="L475:L478" ca="1" si="261">Q475*4/J475</f>
        <v>7.9611650485436877E-2</v>
      </c>
      <c r="M475" s="27">
        <f t="shared" ca="1" si="260"/>
        <v>0.17599999999999993</v>
      </c>
      <c r="N475" s="28" t="s">
        <v>31</v>
      </c>
      <c r="O475" s="27" t="s">
        <v>32</v>
      </c>
      <c r="P475" s="27" t="s">
        <v>32</v>
      </c>
      <c r="Q475" s="76">
        <v>0.41</v>
      </c>
      <c r="R475" s="158">
        <v>44895</v>
      </c>
      <c r="S475" s="158">
        <v>46721</v>
      </c>
      <c r="T475" s="78" t="s">
        <v>42</v>
      </c>
      <c r="U475" s="16"/>
      <c r="V475" s="11" t="str">
        <v>All</v>
      </c>
      <c r="X475">
        <f t="shared" ca="1" si="246"/>
        <v>0.27189011160984938</v>
      </c>
      <c r="Z475" s="17">
        <f t="shared" ca="1" si="247"/>
        <v>46213</v>
      </c>
      <c r="AG475" s="33">
        <f t="shared" ca="1" si="248"/>
        <v>0.17072429821740226</v>
      </c>
      <c r="AH475">
        <f t="shared" ca="1" si="249"/>
        <v>0.1114033158400318</v>
      </c>
      <c r="AI475">
        <f t="shared" ca="1" si="250"/>
        <v>0.10031547379570832</v>
      </c>
      <c r="AJ475">
        <f t="shared" ca="1" si="251"/>
        <v>9.2132337686057914E-2</v>
      </c>
      <c r="AK475">
        <f t="shared" ca="1" si="252"/>
        <v>8.3132164015331092E-2</v>
      </c>
    </row>
    <row r="476" spans="1:37" ht="17.25" customHeight="1">
      <c r="A476" s="19"/>
      <c r="B476" s="218" t="s">
        <v>395</v>
      </c>
      <c r="C476" s="71" t="s">
        <v>27</v>
      </c>
      <c r="D476" s="71" t="s">
        <v>27</v>
      </c>
      <c r="E476" s="71" t="s">
        <v>117</v>
      </c>
      <c r="F476" s="71" t="s">
        <v>29</v>
      </c>
      <c r="G476" s="71" t="s">
        <v>30</v>
      </c>
      <c r="H476" s="219" t="str">
        <f>HYPERLINK("https://innovativeincomeinvestor.com/security/ladenburg-thalmann-financial-services-7-75-senior-notes-due-2029/","LTSH")</f>
        <v>LTSH</v>
      </c>
      <c r="I476" s="73">
        <v>7.7499999999999999E-2</v>
      </c>
      <c r="J476" s="25">
        <f ca="1">IFERROR(__xludf.DUMMYFUNCTION("GoogleFinance(H476)"),20.6)</f>
        <v>20.6</v>
      </c>
      <c r="K476" s="26">
        <f ca="1">IFERROR(__xludf.DUMMYFUNCTION("GOOGLEFINANCE(H476,""change"")"),0)</f>
        <v>0</v>
      </c>
      <c r="L476" s="27">
        <f t="shared" ca="1" si="261"/>
        <v>9.320388349514562E-2</v>
      </c>
      <c r="M476" s="27">
        <f t="shared" ca="1" si="260"/>
        <v>0.17599999999999993</v>
      </c>
      <c r="N476" s="28" t="s">
        <v>31</v>
      </c>
      <c r="O476" s="27" t="s">
        <v>32</v>
      </c>
      <c r="P476" s="27" t="s">
        <v>32</v>
      </c>
      <c r="Q476" s="76">
        <v>0.48</v>
      </c>
      <c r="R476" s="158">
        <v>44742</v>
      </c>
      <c r="S476" s="158">
        <v>47299</v>
      </c>
      <c r="T476" s="78" t="s">
        <v>42</v>
      </c>
      <c r="U476" s="16"/>
      <c r="V476" s="11" t="str">
        <v>All</v>
      </c>
      <c r="X476">
        <f t="shared" ca="1" si="246"/>
        <v>0.28605080870169886</v>
      </c>
      <c r="Z476" s="17">
        <f t="shared" ca="1" si="247"/>
        <v>46213</v>
      </c>
      <c r="AG476" s="33">
        <f t="shared" ca="1" si="248"/>
        <v>0.18475182214985589</v>
      </c>
      <c r="AH476">
        <f t="shared" ca="1" si="249"/>
        <v>0.12543461784556709</v>
      </c>
      <c r="AI476">
        <f t="shared" ca="1" si="250"/>
        <v>0.11439675478351141</v>
      </c>
      <c r="AJ476">
        <f t="shared" ca="1" si="251"/>
        <v>0.10630204412013207</v>
      </c>
      <c r="AK476">
        <f t="shared" ca="1" si="252"/>
        <v>9.7602704429127399E-2</v>
      </c>
    </row>
    <row r="477" spans="1:37" ht="17.25" customHeight="1">
      <c r="A477" s="19"/>
      <c r="B477" s="218" t="s">
        <v>395</v>
      </c>
      <c r="C477" s="71" t="s">
        <v>27</v>
      </c>
      <c r="D477" s="71" t="s">
        <v>27</v>
      </c>
      <c r="E477" s="71" t="s">
        <v>117</v>
      </c>
      <c r="F477" s="71" t="s">
        <v>29</v>
      </c>
      <c r="G477" s="71" t="s">
        <v>30</v>
      </c>
      <c r="H477" s="219" t="str">
        <f>HYPERLINK("https://innovativeincomeinvestor.com/security/ladenburg-thalmann-financial-7-senior-notes-due-2028/","LTSF")</f>
        <v>LTSF</v>
      </c>
      <c r="I477" s="73">
        <v>7.0000000000000007E-2</v>
      </c>
      <c r="J477" s="25">
        <f ca="1">IFERROR(__xludf.DUMMYFUNCTION("GoogleFinance(H477)"),20.63)</f>
        <v>20.63</v>
      </c>
      <c r="K477" s="26">
        <f ca="1">IFERROR(__xludf.DUMMYFUNCTION("GOOGLEFINANCE(H477,""change"")"),0)</f>
        <v>0</v>
      </c>
      <c r="L477" s="27">
        <f t="shared" ca="1" si="261"/>
        <v>8.531265147842948E-2</v>
      </c>
      <c r="M477" s="27">
        <f t="shared" ca="1" si="260"/>
        <v>0.17480000000000004</v>
      </c>
      <c r="N477" s="28" t="s">
        <v>31</v>
      </c>
      <c r="O477" s="27" t="s">
        <v>32</v>
      </c>
      <c r="P477" s="27" t="s">
        <v>32</v>
      </c>
      <c r="Q477" s="76">
        <v>0.44</v>
      </c>
      <c r="R477" s="158">
        <v>44347</v>
      </c>
      <c r="S477" s="158">
        <v>46904</v>
      </c>
      <c r="T477" s="78" t="s">
        <v>42</v>
      </c>
      <c r="U477" s="16"/>
      <c r="V477" s="11" t="str">
        <v>All</v>
      </c>
      <c r="X477">
        <f t="shared" ca="1" si="246"/>
        <v>0.27595211856445728</v>
      </c>
      <c r="Z477" s="17">
        <f t="shared" ca="1" si="247"/>
        <v>46213</v>
      </c>
      <c r="AG477" s="33">
        <f t="shared" ca="1" si="248"/>
        <v>0.1755210552078541</v>
      </c>
      <c r="AH477">
        <f t="shared" ca="1" si="249"/>
        <v>0.11665282503169344</v>
      </c>
      <c r="AI477">
        <f t="shared" ca="1" si="250"/>
        <v>0.10566724414208652</v>
      </c>
      <c r="AJ477">
        <f t="shared" ca="1" si="251"/>
        <v>9.7578680850262653E-2</v>
      </c>
      <c r="AK477">
        <f t="shared" ca="1" si="252"/>
        <v>8.8759282908849185E-2</v>
      </c>
    </row>
    <row r="478" spans="1:37" ht="17.25" customHeight="1">
      <c r="A478" s="19"/>
      <c r="B478" s="218" t="s">
        <v>395</v>
      </c>
      <c r="C478" s="71" t="s">
        <v>27</v>
      </c>
      <c r="D478" s="71" t="s">
        <v>27</v>
      </c>
      <c r="E478" s="71" t="s">
        <v>117</v>
      </c>
      <c r="F478" s="71" t="s">
        <v>29</v>
      </c>
      <c r="G478" s="71" t="s">
        <v>30</v>
      </c>
      <c r="H478" s="219" t="str">
        <f>HYPERLINK("https://innovativeincomeinvestor.com/security/ladenburg-thalmann-7-25financial-services-7-25-senior-notes-due-2028/","LTSK")</f>
        <v>LTSK</v>
      </c>
      <c r="I478" s="73">
        <v>7.2499999999999995E-2</v>
      </c>
      <c r="J478" s="25">
        <f ca="1">IFERROR(__xludf.DUMMYFUNCTION("GoogleFinance(H478)"),20.65)</f>
        <v>20.65</v>
      </c>
      <c r="K478" s="26">
        <f ca="1">IFERROR(__xludf.DUMMYFUNCTION("GOOGLEFINANCE(H478,""change"")"),0.01)</f>
        <v>0.01</v>
      </c>
      <c r="L478" s="27">
        <f t="shared" ca="1" si="261"/>
        <v>8.7167070217917683E-2</v>
      </c>
      <c r="M478" s="27">
        <f t="shared" ca="1" si="260"/>
        <v>0.17400000000000004</v>
      </c>
      <c r="N478" s="28" t="s">
        <v>31</v>
      </c>
      <c r="O478" s="27" t="s">
        <v>32</v>
      </c>
      <c r="P478" s="27" t="s">
        <v>32</v>
      </c>
      <c r="Q478" s="76">
        <v>0.45</v>
      </c>
      <c r="R478" s="158">
        <v>44469</v>
      </c>
      <c r="S478" s="158">
        <v>47026</v>
      </c>
      <c r="T478" s="78" t="s">
        <v>42</v>
      </c>
      <c r="U478" s="16"/>
      <c r="V478" s="11" t="str">
        <v>All</v>
      </c>
      <c r="X478">
        <f t="shared" ca="1" si="246"/>
        <v>0.27771369569511545</v>
      </c>
      <c r="Z478" s="17">
        <f t="shared" ca="1" si="247"/>
        <v>46213</v>
      </c>
      <c r="AG478" s="33">
        <f t="shared" ca="1" si="248"/>
        <v>0.17778132670363453</v>
      </c>
      <c r="AH478">
        <f t="shared" ca="1" si="249"/>
        <v>0.11921565683514505</v>
      </c>
      <c r="AI478">
        <f t="shared" ca="1" si="250"/>
        <v>0.10829562815514898</v>
      </c>
      <c r="AJ478">
        <f t="shared" ca="1" si="251"/>
        <v>0.10026524606169067</v>
      </c>
      <c r="AK478">
        <f t="shared" ca="1" si="252"/>
        <v>9.1548790494151142E-2</v>
      </c>
    </row>
    <row r="479" spans="1:37" ht="17.25" customHeight="1">
      <c r="A479" s="19"/>
      <c r="B479" s="164" t="s">
        <v>397</v>
      </c>
      <c r="C479" s="71" t="s">
        <v>35</v>
      </c>
      <c r="D479" s="71" t="s">
        <v>36</v>
      </c>
      <c r="E479" s="71" t="s">
        <v>176</v>
      </c>
      <c r="F479" s="71" t="s">
        <v>29</v>
      </c>
      <c r="G479" s="71" t="s">
        <v>177</v>
      </c>
      <c r="H479" s="217" t="str">
        <f>HYPERLINK("https://innovativeincomeinvestor.com/security/oxford-lane-capital-corp-6-75-term-preferred-stock/","OXLCM")</f>
        <v>OXLCM</v>
      </c>
      <c r="I479" s="73">
        <v>6.7500000000000004E-2</v>
      </c>
      <c r="J479" s="79" t="s">
        <v>68</v>
      </c>
      <c r="K479" s="169" t="s">
        <v>68</v>
      </c>
      <c r="L479" s="88" t="s">
        <v>68</v>
      </c>
      <c r="M479" s="88" t="s">
        <v>68</v>
      </c>
      <c r="N479" s="71" t="s">
        <v>31</v>
      </c>
      <c r="O479" s="71" t="s">
        <v>32</v>
      </c>
      <c r="P479" s="71" t="s">
        <v>32</v>
      </c>
      <c r="Q479" s="76">
        <f t="shared" ref="Q479:Q480" si="262">(I479*25)/12</f>
        <v>0.140625</v>
      </c>
      <c r="R479" s="158">
        <v>44012</v>
      </c>
      <c r="S479" s="158">
        <v>45473</v>
      </c>
      <c r="T479" s="78" t="s">
        <v>178</v>
      </c>
      <c r="U479" s="16">
        <f t="shared" ref="U479:U494" ca="1" si="263">(R479-TODAY())/365</f>
        <v>-5.0301369863013701</v>
      </c>
      <c r="V479" s="11" t="str">
        <v>All</v>
      </c>
      <c r="X479" t="e">
        <f t="shared" ca="1" si="246"/>
        <v>#VALUE!</v>
      </c>
      <c r="Z479" s="17">
        <f t="shared" ca="1" si="247"/>
        <v>46213</v>
      </c>
      <c r="AG479" s="33" t="e">
        <f t="shared" ca="1" si="248"/>
        <v>#VALUE!</v>
      </c>
      <c r="AH479" t="e">
        <f t="shared" ca="1" si="249"/>
        <v>#VALUE!</v>
      </c>
      <c r="AI479" t="e">
        <f t="shared" ca="1" si="250"/>
        <v>#VALUE!</v>
      </c>
      <c r="AJ479" t="e">
        <f t="shared" ca="1" si="251"/>
        <v>#VALUE!</v>
      </c>
      <c r="AK479" t="e">
        <f t="shared" ca="1" si="252"/>
        <v>#VALUE!</v>
      </c>
    </row>
    <row r="480" spans="1:37" ht="17.25" customHeight="1">
      <c r="A480" s="19"/>
      <c r="B480" s="100" t="s">
        <v>397</v>
      </c>
      <c r="C480" s="71" t="s">
        <v>35</v>
      </c>
      <c r="D480" s="71" t="s">
        <v>36</v>
      </c>
      <c r="E480" s="71" t="s">
        <v>176</v>
      </c>
      <c r="F480" s="71" t="s">
        <v>29</v>
      </c>
      <c r="G480" s="71" t="s">
        <v>177</v>
      </c>
      <c r="H480" s="72" t="str">
        <f>HYPERLINK("https://innovativeincomeinvestor.com/security/oxford-lane-capital-corp-6-25-series-2027-term-preferred/","OXLCP")</f>
        <v>OXLCP</v>
      </c>
      <c r="I480" s="73">
        <v>6.25E-2</v>
      </c>
      <c r="J480" s="168">
        <f ca="1">IFERROR(__xludf.DUMMYFUNCTION("GoogleFinance(H480)"),24.34)</f>
        <v>24.34</v>
      </c>
      <c r="K480" s="168">
        <f ca="1">IFERROR(__xludf.DUMMYFUNCTION("googlefinance(H480,""change"")"),0.02)</f>
        <v>0.02</v>
      </c>
      <c r="L480" s="220">
        <f t="shared" ref="L480:L482" ca="1" si="264">(Q480*12)/J480</f>
        <v>6.4194741166803612E-2</v>
      </c>
      <c r="M480" s="221">
        <f t="shared" ref="M480:M484" ca="1" si="265">(25-J480)/25</f>
        <v>2.6400000000000007E-2</v>
      </c>
      <c r="N480" s="71" t="s">
        <v>31</v>
      </c>
      <c r="O480" s="71" t="s">
        <v>32</v>
      </c>
      <c r="P480" s="71" t="s">
        <v>32</v>
      </c>
      <c r="Q480" s="76">
        <f t="shared" si="262"/>
        <v>0.13020833333333334</v>
      </c>
      <c r="R480" s="158">
        <v>44985</v>
      </c>
      <c r="S480" s="158">
        <v>46446</v>
      </c>
      <c r="T480" s="78" t="s">
        <v>178</v>
      </c>
      <c r="U480" s="16">
        <f t="shared" ca="1" si="263"/>
        <v>-2.3643835616438356</v>
      </c>
      <c r="V480" s="11" t="str">
        <v>All</v>
      </c>
      <c r="X480">
        <f t="shared" ca="1" si="246"/>
        <v>9.040840687684451E-2</v>
      </c>
      <c r="Z480" s="17">
        <f t="shared" ca="1" si="247"/>
        <v>46213</v>
      </c>
      <c r="AG480" s="33">
        <f t="shared" ca="1" si="248"/>
        <v>7.6866810629153209E-2</v>
      </c>
      <c r="AH480">
        <f t="shared" ca="1" si="249"/>
        <v>6.8787354116006325E-2</v>
      </c>
      <c r="AI480">
        <f t="shared" ca="1" si="250"/>
        <v>6.7262211774481356E-2</v>
      </c>
      <c r="AJ480">
        <f t="shared" ca="1" si="251"/>
        <v>6.6130478969898668E-2</v>
      </c>
      <c r="AK480">
        <f t="shared" ca="1" si="252"/>
        <v>6.4865892803120495E-2</v>
      </c>
    </row>
    <row r="481" spans="1:37" ht="17.25" customHeight="1">
      <c r="A481" s="19"/>
      <c r="B481" s="100" t="s">
        <v>397</v>
      </c>
      <c r="C481" s="192" t="s">
        <v>35</v>
      </c>
      <c r="D481" s="192" t="s">
        <v>36</v>
      </c>
      <c r="E481" s="71" t="s">
        <v>176</v>
      </c>
      <c r="F481" s="192" t="s">
        <v>29</v>
      </c>
      <c r="G481" s="192" t="s">
        <v>177</v>
      </c>
      <c r="H481" s="72" t="str">
        <f>HYPERLINK("https://innovativeincomeinvestor.com/security/oxford-lane-capital-corp-6-00-term-preferred-sereis-2029/","OXLCO")</f>
        <v>OXLCO</v>
      </c>
      <c r="I481" s="222">
        <v>0.06</v>
      </c>
      <c r="J481" s="223">
        <f ca="1">IFERROR(__xludf.DUMMYFUNCTION("GoogleFinance(H481)"),23.24)</f>
        <v>23.24</v>
      </c>
      <c r="K481" s="215">
        <f ca="1">IFERROR(__xludf.DUMMYFUNCTION("googlefinance(H481,""change"")"),-0.1)</f>
        <v>-0.1</v>
      </c>
      <c r="L481" s="190">
        <f t="shared" ca="1" si="264"/>
        <v>6.4543889845094668E-2</v>
      </c>
      <c r="M481" s="190">
        <f t="shared" ca="1" si="265"/>
        <v>7.040000000000006E-2</v>
      </c>
      <c r="N481" s="192" t="s">
        <v>31</v>
      </c>
      <c r="O481" s="192" t="s">
        <v>32</v>
      </c>
      <c r="P481" s="192" t="s">
        <v>32</v>
      </c>
      <c r="Q481" s="216">
        <v>0.125</v>
      </c>
      <c r="R481" s="224">
        <v>45535</v>
      </c>
      <c r="S481" s="224">
        <v>47361</v>
      </c>
      <c r="T481" s="193" t="s">
        <v>178</v>
      </c>
      <c r="U481" s="16">
        <f t="shared" ca="1" si="263"/>
        <v>-0.8575342465753425</v>
      </c>
      <c r="V481" s="11" t="str">
        <v>All</v>
      </c>
      <c r="X481">
        <f t="shared" ca="1" si="246"/>
        <v>0.13650705631155319</v>
      </c>
      <c r="Z481" s="17">
        <f t="shared" ca="1" si="247"/>
        <v>46213</v>
      </c>
      <c r="AG481" s="33">
        <f t="shared" ca="1" si="248"/>
        <v>9.9242289678126802E-2</v>
      </c>
      <c r="AH481">
        <f t="shared" ca="1" si="249"/>
        <v>7.7109285742965647E-2</v>
      </c>
      <c r="AI481">
        <f t="shared" ca="1" si="250"/>
        <v>7.2938956242277406E-2</v>
      </c>
      <c r="AJ481">
        <f t="shared" ca="1" si="251"/>
        <v>6.9844700550020733E-2</v>
      </c>
      <c r="AK481">
        <f t="shared" ca="1" si="252"/>
        <v>6.6386095066392661E-2</v>
      </c>
    </row>
    <row r="482" spans="1:37" ht="17.25" customHeight="1">
      <c r="A482" s="19"/>
      <c r="B482" s="100" t="s">
        <v>397</v>
      </c>
      <c r="C482" s="71" t="s">
        <v>35</v>
      </c>
      <c r="D482" s="71" t="s">
        <v>36</v>
      </c>
      <c r="E482" s="71" t="s">
        <v>176</v>
      </c>
      <c r="F482" s="71" t="s">
        <v>29</v>
      </c>
      <c r="G482" s="71" t="s">
        <v>177</v>
      </c>
      <c r="H482" s="72" t="str">
        <f>HYPERLINK("https://innovativeincomeinvestor.com/security/oxford-lane-capital-corporation-7-125-term-preferred-stock/","OXLCN")</f>
        <v>OXLCN</v>
      </c>
      <c r="I482" s="73">
        <v>7.1249999999999994E-2</v>
      </c>
      <c r="J482" s="162">
        <f ca="1">IFERROR(__xludf.DUMMYFUNCTION("importxml(""https://bigcharts.marketwatch.com/quickchart/quickchart.asp?symb=OXLCN&amp;insttype=Stock"",""/html/body/div[1]/div[2]/table/tbody/tr/td[1]/table/tbody/tr[3]/td[1]/div"")"),24.4199)</f>
        <v>24.419899999999998</v>
      </c>
      <c r="K482" s="215">
        <f ca="1">IFERROR(__xludf.DUMMYFUNCTION("googlefinance(H482,""change"")"),0.02)</f>
        <v>0.02</v>
      </c>
      <c r="L482" s="190">
        <f t="shared" ca="1" si="264"/>
        <v>7.3710375554363453E-2</v>
      </c>
      <c r="M482" s="190">
        <f t="shared" ca="1" si="265"/>
        <v>2.3204000000000065E-2</v>
      </c>
      <c r="N482" s="192" t="s">
        <v>31</v>
      </c>
      <c r="O482" s="192" t="s">
        <v>32</v>
      </c>
      <c r="P482" s="192" t="s">
        <v>32</v>
      </c>
      <c r="Q482" s="216">
        <v>0.15</v>
      </c>
      <c r="R482" s="224">
        <v>45473</v>
      </c>
      <c r="S482" s="224">
        <v>47299</v>
      </c>
      <c r="T482" s="193" t="s">
        <v>178</v>
      </c>
      <c r="U482" s="16">
        <f t="shared" ca="1" si="263"/>
        <v>-1.0273972602739727</v>
      </c>
      <c r="V482" s="11" t="str">
        <v>All</v>
      </c>
      <c r="X482">
        <f t="shared" ca="1" si="246"/>
        <v>9.5860678824216186E-2</v>
      </c>
      <c r="Z482" s="17">
        <f t="shared" ca="1" si="247"/>
        <v>46213</v>
      </c>
      <c r="AG482" s="33">
        <f t="shared" ca="1" si="248"/>
        <v>8.3974612610559676E-2</v>
      </c>
      <c r="AH482">
        <f t="shared" ca="1" si="249"/>
        <v>7.6885887105704875E-2</v>
      </c>
      <c r="AI482">
        <f t="shared" ca="1" si="250"/>
        <v>7.555072448642168E-2</v>
      </c>
      <c r="AJ482">
        <f t="shared" ca="1" si="251"/>
        <v>7.4563339368993536E-2</v>
      </c>
      <c r="AK482">
        <f t="shared" ca="1" si="252"/>
        <v>7.3473043798961302E-2</v>
      </c>
    </row>
    <row r="483" spans="1:37" ht="17.25" customHeight="1">
      <c r="A483" s="19"/>
      <c r="B483" s="45" t="s">
        <v>397</v>
      </c>
      <c r="C483" s="28" t="s">
        <v>27</v>
      </c>
      <c r="D483" s="28" t="s">
        <v>27</v>
      </c>
      <c r="E483" s="28" t="s">
        <v>176</v>
      </c>
      <c r="F483" s="36" t="s">
        <v>29</v>
      </c>
      <c r="G483" s="28" t="s">
        <v>30</v>
      </c>
      <c r="H483" s="83" t="str">
        <f>HYPERLINK("https://innovativeincomeinvestor.com/security/oxford-lane-capital-corp-6-75-notes-due-2031/","OXLCL")</f>
        <v>OXLCL</v>
      </c>
      <c r="I483" s="47">
        <v>6.7500000000000004E-2</v>
      </c>
      <c r="J483" s="168">
        <f ca="1">IFERROR(__xludf.DUMMYFUNCTION("GoogleFinance(H483)"),23.7)</f>
        <v>23.7</v>
      </c>
      <c r="K483" s="74">
        <f ca="1">IFERROR(__xludf.DUMMYFUNCTION("googlefinance(H483,""change"")"),0.1)</f>
        <v>0.1</v>
      </c>
      <c r="L483" s="75">
        <f t="shared" ref="L483:L485" ca="1" si="266">(Q483*4)/J483</f>
        <v>7.0886075949367092E-2</v>
      </c>
      <c r="M483" s="97">
        <f t="shared" ca="1" si="265"/>
        <v>5.2000000000000025E-2</v>
      </c>
      <c r="N483" s="71" t="s">
        <v>31</v>
      </c>
      <c r="O483" s="71" t="s">
        <v>32</v>
      </c>
      <c r="P483" s="28" t="s">
        <v>32</v>
      </c>
      <c r="Q483" s="29">
        <v>0.42</v>
      </c>
      <c r="R483" s="82">
        <v>45367</v>
      </c>
      <c r="S483" s="61">
        <v>47938</v>
      </c>
      <c r="T483" s="62" t="s">
        <v>56</v>
      </c>
      <c r="U483" s="16">
        <f t="shared" ca="1" si="263"/>
        <v>-1.3178082191780822</v>
      </c>
      <c r="V483" s="11" t="str">
        <v>All</v>
      </c>
      <c r="X483">
        <f t="shared" ca="1" si="246"/>
        <v>0.12357734866561791</v>
      </c>
      <c r="Z483" s="17">
        <f t="shared" ca="1" si="247"/>
        <v>46213</v>
      </c>
      <c r="AG483" s="33">
        <f t="shared" ca="1" si="248"/>
        <v>9.6397928281288459E-2</v>
      </c>
      <c r="AH483">
        <f t="shared" ca="1" si="249"/>
        <v>8.0233064338956286E-2</v>
      </c>
      <c r="AI483">
        <f t="shared" ca="1" si="250"/>
        <v>7.7190299413554583E-2</v>
      </c>
      <c r="AJ483">
        <f t="shared" ca="1" si="251"/>
        <v>7.4938163661979432E-2</v>
      </c>
      <c r="AK483">
        <f t="shared" ca="1" si="252"/>
        <v>7.2443797854402442E-2</v>
      </c>
    </row>
    <row r="484" spans="1:37" ht="17.25" customHeight="1">
      <c r="A484" s="19"/>
      <c r="B484" s="45" t="s">
        <v>397</v>
      </c>
      <c r="C484" s="28" t="s">
        <v>27</v>
      </c>
      <c r="D484" s="28" t="s">
        <v>27</v>
      </c>
      <c r="E484" s="28" t="s">
        <v>176</v>
      </c>
      <c r="F484" s="36" t="s">
        <v>29</v>
      </c>
      <c r="G484" s="28" t="s">
        <v>30</v>
      </c>
      <c r="H484" s="83" t="str">
        <f>HYPERLINK("https://innovativeincomeinvestor.com/security/oxford-lane-capital-corporation-5-00-notes-due-2027/","OXLCZ")</f>
        <v>OXLCZ</v>
      </c>
      <c r="I484" s="47">
        <v>0.05</v>
      </c>
      <c r="J484" s="74">
        <f ca="1">IFERROR(__xludf.DUMMYFUNCTION("GoogleFinance(H484)"),24.04)</f>
        <v>24.04</v>
      </c>
      <c r="K484" s="74">
        <f ca="1">IFERROR(__xludf.DUMMYFUNCTION("googlefinance(H484,""change"")"),0.02)</f>
        <v>0.02</v>
      </c>
      <c r="L484" s="75">
        <f t="shared" ca="1" si="266"/>
        <v>5.1996672212978372E-2</v>
      </c>
      <c r="M484" s="97">
        <f t="shared" ca="1" si="265"/>
        <v>3.8400000000000031E-2</v>
      </c>
      <c r="N484" s="71" t="s">
        <v>31</v>
      </c>
      <c r="O484" s="71" t="s">
        <v>32</v>
      </c>
      <c r="P484" s="28" t="s">
        <v>32</v>
      </c>
      <c r="Q484" s="29">
        <v>0.3125</v>
      </c>
      <c r="R484" s="82">
        <v>45322</v>
      </c>
      <c r="S484" s="61">
        <v>46418</v>
      </c>
      <c r="T484" s="62" t="s">
        <v>56</v>
      </c>
      <c r="U484" s="16">
        <f t="shared" ca="1" si="263"/>
        <v>-1.441095890410959</v>
      </c>
      <c r="V484" s="11" t="str">
        <v>All</v>
      </c>
      <c r="X484">
        <f t="shared" ca="1" si="246"/>
        <v>9.0598715363725602E-2</v>
      </c>
      <c r="Z484" s="17">
        <f t="shared" ca="1" si="247"/>
        <v>46213</v>
      </c>
      <c r="AG484" s="33">
        <f t="shared" ca="1" si="248"/>
        <v>7.0759666287335182E-2</v>
      </c>
      <c r="AH484">
        <f t="shared" ca="1" si="249"/>
        <v>5.8926940622860371E-2</v>
      </c>
      <c r="AI484">
        <f t="shared" ca="1" si="250"/>
        <v>5.6688202066476699E-2</v>
      </c>
      <c r="AJ484">
        <f t="shared" ca="1" si="251"/>
        <v>5.5020330372627921E-2</v>
      </c>
      <c r="AK484">
        <f t="shared" ca="1" si="252"/>
        <v>5.3129912660862449E-2</v>
      </c>
    </row>
    <row r="485" spans="1:37" ht="17.25" customHeight="1">
      <c r="A485" s="19"/>
      <c r="B485" s="45" t="s">
        <v>397</v>
      </c>
      <c r="C485" s="28" t="s">
        <v>27</v>
      </c>
      <c r="D485" s="28" t="s">
        <v>27</v>
      </c>
      <c r="E485" s="28" t="s">
        <v>176</v>
      </c>
      <c r="F485" s="36" t="s">
        <v>29</v>
      </c>
      <c r="G485" s="28" t="s">
        <v>30</v>
      </c>
      <c r="H485" s="23" t="str">
        <f>HYPERLINK("https://innovativeincomeinvestor.com/security/oxford-lane-capital-corp-8-75-notes-due-2030/","OXLCI")</f>
        <v>OXLCI</v>
      </c>
      <c r="I485" s="47">
        <v>8.7599999999999997E-2</v>
      </c>
      <c r="J485" s="74">
        <f ca="1">IFERROR(__xludf.DUMMYFUNCTION("GoogleFinance(H485)"),25.6)</f>
        <v>25.6</v>
      </c>
      <c r="K485" s="74">
        <f ca="1">IFERROR(__xludf.DUMMYFUNCTION("googlefinance(H485,""change"")"),0.01)</f>
        <v>0.01</v>
      </c>
      <c r="L485" s="75">
        <f t="shared" ca="1" si="266"/>
        <v>8.5156250000000003E-2</v>
      </c>
      <c r="M485" s="27">
        <f t="array" aca="1" ref="M485" ca="1">L485*U485+(25-J485)/25/U485</f>
        <v>0.2453027085067736</v>
      </c>
      <c r="N485" s="71" t="s">
        <v>31</v>
      </c>
      <c r="O485" s="71" t="s">
        <v>32</v>
      </c>
      <c r="P485" s="28" t="s">
        <v>32</v>
      </c>
      <c r="Q485" s="29">
        <v>0.54500000000000004</v>
      </c>
      <c r="R485" s="82">
        <v>46934</v>
      </c>
      <c r="S485" s="61">
        <v>47664</v>
      </c>
      <c r="T485" s="62" t="s">
        <v>56</v>
      </c>
      <c r="U485" s="16">
        <f t="shared" ca="1" si="263"/>
        <v>2.9753424657534246</v>
      </c>
      <c r="V485" s="11" t="str">
        <v>All</v>
      </c>
      <c r="X485">
        <f t="shared" ca="1" si="246"/>
        <v>6.2652903888533992E-2</v>
      </c>
      <c r="Z485" s="17">
        <f t="shared" ca="1" si="247"/>
        <v>46213</v>
      </c>
      <c r="AG485" s="33">
        <f t="shared" ca="1" si="248"/>
        <v>7.4571596923445671E-2</v>
      </c>
      <c r="AH485">
        <f t="shared" ca="1" si="249"/>
        <v>8.1701571157687627E-2</v>
      </c>
      <c r="AI485">
        <f t="shared" ca="1" si="250"/>
        <v>8.3040839680625075E-2</v>
      </c>
      <c r="AJ485">
        <f t="shared" ca="1" si="251"/>
        <v>8.4026394269881705E-2</v>
      </c>
      <c r="AK485">
        <f t="shared" ca="1" si="252"/>
        <v>8.5090380339367139E-2</v>
      </c>
    </row>
    <row r="486" spans="1:37" ht="17.25" customHeight="1">
      <c r="A486" s="19"/>
      <c r="B486" s="45" t="s">
        <v>398</v>
      </c>
      <c r="C486" s="28" t="s">
        <v>27</v>
      </c>
      <c r="D486" s="28" t="s">
        <v>27</v>
      </c>
      <c r="E486" s="28" t="s">
        <v>171</v>
      </c>
      <c r="F486" s="36" t="s">
        <v>29</v>
      </c>
      <c r="G486" s="28" t="s">
        <v>30</v>
      </c>
      <c r="H486" s="51" t="str">
        <f>HYPERLINK("https://innovativeincomeinvestor.com/security/oxford-square-capital-corp-6-50-notes-due-2024/","OXSQL")</f>
        <v>OXSQL</v>
      </c>
      <c r="I486" s="47">
        <v>6.5000000000000002E-2</v>
      </c>
      <c r="J486" s="86" t="s">
        <v>68</v>
      </c>
      <c r="K486" s="169" t="s">
        <v>68</v>
      </c>
      <c r="L486" s="88" t="s">
        <v>68</v>
      </c>
      <c r="M486" s="88" t="s">
        <v>68</v>
      </c>
      <c r="N486" s="28" t="s">
        <v>31</v>
      </c>
      <c r="O486" s="28" t="s">
        <v>32</v>
      </c>
      <c r="P486" s="28" t="s">
        <v>32</v>
      </c>
      <c r="Q486" s="29">
        <v>0.41</v>
      </c>
      <c r="R486" s="82">
        <v>43920</v>
      </c>
      <c r="S486" s="61">
        <v>45381</v>
      </c>
      <c r="T486" s="62" t="s">
        <v>56</v>
      </c>
      <c r="U486" s="16">
        <f t="shared" ca="1" si="263"/>
        <v>-5.2821917808219174</v>
      </c>
      <c r="V486" s="11" t="str">
        <v>All</v>
      </c>
      <c r="X486" t="e">
        <f t="shared" ca="1" si="246"/>
        <v>#VALUE!</v>
      </c>
      <c r="Z486" s="17">
        <f t="shared" ca="1" si="247"/>
        <v>46213</v>
      </c>
      <c r="AG486" s="33" t="e">
        <f t="shared" ca="1" si="248"/>
        <v>#VALUE!</v>
      </c>
      <c r="AH486" t="e">
        <f t="shared" ca="1" si="249"/>
        <v>#VALUE!</v>
      </c>
      <c r="AI486" t="e">
        <f t="shared" ca="1" si="250"/>
        <v>#VALUE!</v>
      </c>
      <c r="AJ486" t="e">
        <f t="shared" ca="1" si="251"/>
        <v>#VALUE!</v>
      </c>
      <c r="AK486" t="e">
        <f t="shared" ca="1" si="252"/>
        <v>#VALUE!</v>
      </c>
    </row>
    <row r="487" spans="1:37" ht="17.25" customHeight="1">
      <c r="A487" s="19"/>
      <c r="B487" s="45" t="s">
        <v>398</v>
      </c>
      <c r="C487" s="28" t="s">
        <v>27</v>
      </c>
      <c r="D487" s="28" t="s">
        <v>27</v>
      </c>
      <c r="E487" s="28" t="s">
        <v>171</v>
      </c>
      <c r="F487" s="28" t="s">
        <v>29</v>
      </c>
      <c r="G487" s="28" t="s">
        <v>30</v>
      </c>
      <c r="H487" s="51" t="str">
        <f>HYPERLINK("https://innovativeincomeinvestor.com/security/oxford-square-capital-corp-6-25-notes-due-2026/","OXSQZ")</f>
        <v>OXSQZ</v>
      </c>
      <c r="I487" s="47">
        <v>6.25E-2</v>
      </c>
      <c r="J487" s="25">
        <f ca="1">IFERROR(__xludf.DUMMYFUNCTION("GoogleFinance(H487)"),25.01)</f>
        <v>25.01</v>
      </c>
      <c r="K487" s="25" t="s">
        <v>49</v>
      </c>
      <c r="L487" s="108">
        <f t="shared" ref="L487:L488" ca="1" si="267">(Q487*4)/J487</f>
        <v>6.2475009996001599E-2</v>
      </c>
      <c r="M487" s="108">
        <f ca="1">(25-J487)/25</f>
        <v>-4.0000000000006252E-4</v>
      </c>
      <c r="N487" s="28" t="s">
        <v>31</v>
      </c>
      <c r="O487" s="29" t="s">
        <v>32</v>
      </c>
      <c r="P487" s="29" t="s">
        <v>32</v>
      </c>
      <c r="Q487" s="29">
        <f>(I487*25)/4</f>
        <v>0.390625</v>
      </c>
      <c r="R487" s="82">
        <v>44681</v>
      </c>
      <c r="S487" s="61">
        <v>46142</v>
      </c>
      <c r="T487" s="62" t="s">
        <v>60</v>
      </c>
      <c r="U487" s="16">
        <f t="shared" ca="1" si="263"/>
        <v>-3.1972602739726028</v>
      </c>
      <c r="V487" s="11" t="str">
        <v>All</v>
      </c>
      <c r="X487">
        <f t="shared" ca="1" si="246"/>
        <v>6.2084359385845514E-2</v>
      </c>
      <c r="Z487" s="17">
        <f t="shared" ca="1" si="247"/>
        <v>46213</v>
      </c>
      <c r="AG487" s="33">
        <f t="shared" ca="1" si="248"/>
        <v>6.2285733142348018E-2</v>
      </c>
      <c r="AH487">
        <f t="shared" ca="1" si="249"/>
        <v>6.2405898054476272E-2</v>
      </c>
      <c r="AI487">
        <f t="shared" ca="1" si="250"/>
        <v>6.2428516507096056E-2</v>
      </c>
      <c r="AJ487">
        <f t="shared" ca="1" si="251"/>
        <v>6.2445541360453605E-2</v>
      </c>
      <c r="AK487">
        <f t="shared" ca="1" si="252"/>
        <v>6.2464264335776711E-2</v>
      </c>
    </row>
    <row r="488" spans="1:37" ht="17.25" customHeight="1">
      <c r="A488" s="19"/>
      <c r="B488" s="45" t="s">
        <v>399</v>
      </c>
      <c r="C488" s="28" t="s">
        <v>27</v>
      </c>
      <c r="D488" s="28" t="s">
        <v>35</v>
      </c>
      <c r="E488" s="28" t="s">
        <v>28</v>
      </c>
      <c r="F488" s="28" t="s">
        <v>29</v>
      </c>
      <c r="G488" s="28" t="s">
        <v>38</v>
      </c>
      <c r="H488" s="83" t="str">
        <f>HYPERLINK("https://innovativeincomeinvestor.com/security/partnerre-4-875-fixed-rate-non-cumulative-redeemable-preferred-shares-series-j/","PREJF")</f>
        <v>PREJF</v>
      </c>
      <c r="I488" s="47">
        <v>4.8750000000000002E-2</v>
      </c>
      <c r="J488" s="25">
        <f ca="1">IFERROR(__xludf.DUMMYFUNCTION("GoogleFinance(H488)"),17.32)</f>
        <v>17.32</v>
      </c>
      <c r="K488" s="26">
        <f ca="1">IFERROR(__xludf.DUMMYFUNCTION("googlefinance(H488,""change"")"),0.1)</f>
        <v>0.1</v>
      </c>
      <c r="L488" s="27">
        <f t="shared" ca="1" si="267"/>
        <v>6.9284064665127015E-2</v>
      </c>
      <c r="M488" s="27">
        <f t="shared" ref="M488:M489" ca="1" si="268">L488*U488+(25-J488)/25/U488</f>
        <v>0.4992042323593015</v>
      </c>
      <c r="N488" s="28" t="s">
        <v>39</v>
      </c>
      <c r="O488" s="28" t="s">
        <v>50</v>
      </c>
      <c r="P488" s="28" t="s">
        <v>76</v>
      </c>
      <c r="Q488" s="29">
        <v>0.3</v>
      </c>
      <c r="R488" s="64">
        <v>46096</v>
      </c>
      <c r="S488" s="65" t="s">
        <v>41</v>
      </c>
      <c r="T488" s="62" t="s">
        <v>52</v>
      </c>
      <c r="U488" s="225">
        <f t="shared" ca="1" si="263"/>
        <v>0.67945205479452053</v>
      </c>
      <c r="V488" s="14" t="str">
        <v>All</v>
      </c>
      <c r="X488">
        <f t="shared" ca="1" si="246"/>
        <v>0.44611902118403668</v>
      </c>
      <c r="Z488" s="17">
        <f t="shared" ca="1" si="247"/>
        <v>46213</v>
      </c>
      <c r="AG488" s="33">
        <f t="shared" ca="1" si="248"/>
        <v>0.24824914071040297</v>
      </c>
      <c r="AH488">
        <f t="shared" ca="1" si="249"/>
        <v>0.13409091747716989</v>
      </c>
      <c r="AI488">
        <f t="shared" ca="1" si="250"/>
        <v>0.11284577525815025</v>
      </c>
      <c r="AJ488">
        <f t="shared" ca="1" si="251"/>
        <v>9.712576943190189E-2</v>
      </c>
      <c r="AK488">
        <f t="shared" ca="1" si="252"/>
        <v>7.9578829033766299E-2</v>
      </c>
    </row>
    <row r="489" spans="1:37" ht="17.25" customHeight="1">
      <c r="A489" s="19"/>
      <c r="B489" s="100" t="s">
        <v>400</v>
      </c>
      <c r="C489" s="71" t="s">
        <v>35</v>
      </c>
      <c r="D489" s="71" t="s">
        <v>36</v>
      </c>
      <c r="E489" s="71" t="s">
        <v>176</v>
      </c>
      <c r="F489" s="71" t="s">
        <v>29</v>
      </c>
      <c r="G489" s="71" t="s">
        <v>177</v>
      </c>
      <c r="H489" s="217" t="str">
        <f>HYPERLINK("https://innovativeincomeinvestor.com/security/pearl-diver-credit-company-inc-8-series-a-term-preferred-stock-due-2029/","PDPA")</f>
        <v>PDPA</v>
      </c>
      <c r="I489" s="73">
        <v>0.08</v>
      </c>
      <c r="J489" s="168">
        <f ca="1">IFERROR(__xludf.DUMMYFUNCTION("GoogleFinance(H489)"),25.05)</f>
        <v>25.05</v>
      </c>
      <c r="K489" s="102">
        <f ca="1">IFERROR(__xludf.DUMMYFUNCTION("googlefinance(H489,""change"")"),0.2)</f>
        <v>0.2</v>
      </c>
      <c r="L489" s="75">
        <f ca="1">(Q489*12)/J489</f>
        <v>7.9520958083832333E-2</v>
      </c>
      <c r="M489" s="75">
        <f t="shared" ca="1" si="268"/>
        <v>0.11607521927198033</v>
      </c>
      <c r="N489" s="71" t="s">
        <v>31</v>
      </c>
      <c r="O489" s="71" t="s">
        <v>32</v>
      </c>
      <c r="P489" s="71" t="s">
        <v>32</v>
      </c>
      <c r="Q489" s="76">
        <v>0.16600000000000001</v>
      </c>
      <c r="R489" s="77">
        <v>46387</v>
      </c>
      <c r="S489" s="158">
        <v>47483</v>
      </c>
      <c r="T489" s="62" t="s">
        <v>178</v>
      </c>
      <c r="U489" s="16">
        <f t="shared" ca="1" si="263"/>
        <v>1.4767123287671233</v>
      </c>
      <c r="V489" s="11" t="str">
        <v>All</v>
      </c>
      <c r="X489">
        <f t="shared" ca="1" si="246"/>
        <v>7.7901683879502456E-2</v>
      </c>
      <c r="Z489" s="17">
        <f t="shared" ca="1" si="247"/>
        <v>46213</v>
      </c>
      <c r="AG489" s="33">
        <f t="shared" ca="1" si="248"/>
        <v>7.8909204682346426E-2</v>
      </c>
      <c r="AH489">
        <f t="shared" ca="1" si="249"/>
        <v>7.9510575116852181E-2</v>
      </c>
      <c r="AI489">
        <f t="shared" ca="1" si="250"/>
        <v>7.9623515352878982E-2</v>
      </c>
      <c r="AJ489">
        <f t="shared" ca="1" si="251"/>
        <v>7.9707198349197594E-2</v>
      </c>
      <c r="AK489">
        <f t="shared" ca="1" si="252"/>
        <v>7.9797920886753096E-2</v>
      </c>
    </row>
    <row r="490" spans="1:37" ht="17.25" customHeight="1">
      <c r="A490" s="19"/>
      <c r="B490" s="45" t="s">
        <v>401</v>
      </c>
      <c r="C490" s="28" t="s">
        <v>35</v>
      </c>
      <c r="D490" s="28" t="s">
        <v>27</v>
      </c>
      <c r="E490" s="28" t="s">
        <v>106</v>
      </c>
      <c r="F490" s="36" t="s">
        <v>29</v>
      </c>
      <c r="G490" s="28" t="s">
        <v>38</v>
      </c>
      <c r="H490" s="51" t="str">
        <f>HYPERLINK("https://innovativeincomeinvestor.com/security/lasalle-hotel-properties-6-375-series-j-cumulative-redeemable-preferred-shares/","PEB-E")</f>
        <v>PEB-E</v>
      </c>
      <c r="I490" s="47">
        <v>6.3750000000000001E-2</v>
      </c>
      <c r="J490" s="65">
        <f ca="1">IFERROR(__xludf.DUMMYFUNCTION("GoogleFinance(H490)"),17.47)</f>
        <v>17.47</v>
      </c>
      <c r="K490" s="48">
        <f ca="1">IFERROR(__xludf.DUMMYFUNCTION("googlefinance(H490,""change"")"),-0.16)</f>
        <v>-0.16</v>
      </c>
      <c r="L490" s="27">
        <f t="shared" ref="L490:L499" ca="1" si="269">(Q490*4)/J490</f>
        <v>9.1227819118488845E-2</v>
      </c>
      <c r="M490" s="27">
        <f t="shared" ref="M490:M492" ca="1" si="270">(25-J490)/25</f>
        <v>0.30120000000000002</v>
      </c>
      <c r="N490" s="28" t="s">
        <v>31</v>
      </c>
      <c r="O490" s="27" t="s">
        <v>32</v>
      </c>
      <c r="P490" s="27" t="s">
        <v>32</v>
      </c>
      <c r="Q490" s="29">
        <f t="shared" ref="Q490:Q491" si="271">(I490*25)/4</f>
        <v>0.3984375</v>
      </c>
      <c r="R490" s="64">
        <v>43163</v>
      </c>
      <c r="S490" s="54" t="s">
        <v>41</v>
      </c>
      <c r="T490" s="50" t="s">
        <v>60</v>
      </c>
      <c r="U490" s="16">
        <f t="shared" ca="1" si="263"/>
        <v>-7.3561643835616435</v>
      </c>
      <c r="V490" s="11" t="str">
        <v>All</v>
      </c>
      <c r="X490">
        <f t="shared" ca="1" si="246"/>
        <v>0.45525564273236568</v>
      </c>
      <c r="Z490" s="17">
        <f t="shared" ca="1" si="247"/>
        <v>46213</v>
      </c>
      <c r="AG490" s="33">
        <f t="shared" ca="1" si="248"/>
        <v>0.26201331098552888</v>
      </c>
      <c r="AH490">
        <f t="shared" ca="1" si="249"/>
        <v>0.15059759162361977</v>
      </c>
      <c r="AI490">
        <f t="shared" ca="1" si="250"/>
        <v>0.12995893559152219</v>
      </c>
      <c r="AJ490">
        <f t="shared" ca="1" si="251"/>
        <v>0.11479659139188697</v>
      </c>
      <c r="AK490">
        <f t="shared" ca="1" si="252"/>
        <v>9.8326925458086203E-2</v>
      </c>
    </row>
    <row r="491" spans="1:37" ht="17.25" customHeight="1">
      <c r="A491" s="19"/>
      <c r="B491" s="45" t="s">
        <v>402</v>
      </c>
      <c r="C491" s="28" t="s">
        <v>35</v>
      </c>
      <c r="D491" s="28" t="s">
        <v>27</v>
      </c>
      <c r="E491" s="28" t="s">
        <v>106</v>
      </c>
      <c r="F491" s="36" t="s">
        <v>29</v>
      </c>
      <c r="G491" s="28" t="s">
        <v>38</v>
      </c>
      <c r="H491" s="66" t="str">
        <f>HYPERLINK("https://innovativeincomeinvestor.com/security/lasalle-hotel-properties-6-30-series-j-cumulative-redeemable-preferred-shares/","PEB-F")</f>
        <v>PEB-F</v>
      </c>
      <c r="I491" s="47">
        <v>6.3E-2</v>
      </c>
      <c r="J491" s="25">
        <f ca="1">IFERROR(__xludf.DUMMYFUNCTION("GoogleFinance(H491)"),17.75)</f>
        <v>17.75</v>
      </c>
      <c r="K491" s="48">
        <f ca="1">IFERROR(__xludf.DUMMYFUNCTION("googlefinance(H491,""change"")"),-0.01)</f>
        <v>-0.01</v>
      </c>
      <c r="L491" s="27">
        <f t="shared" ca="1" si="269"/>
        <v>8.8732394366197176E-2</v>
      </c>
      <c r="M491" s="27">
        <f t="shared" ca="1" si="270"/>
        <v>0.28999999999999998</v>
      </c>
      <c r="N491" s="28" t="s">
        <v>31</v>
      </c>
      <c r="O491" s="27" t="s">
        <v>32</v>
      </c>
      <c r="P491" s="27" t="s">
        <v>32</v>
      </c>
      <c r="Q491" s="29">
        <f t="shared" si="271"/>
        <v>0.39374999999999999</v>
      </c>
      <c r="R491" s="64">
        <v>44341</v>
      </c>
      <c r="S491" s="54" t="s">
        <v>41</v>
      </c>
      <c r="T491" s="50" t="s">
        <v>60</v>
      </c>
      <c r="U491" s="16">
        <f t="shared" ca="1" si="263"/>
        <v>-4.1287671232876715</v>
      </c>
      <c r="V491" s="11" t="str">
        <v>All</v>
      </c>
      <c r="X491">
        <f t="shared" ca="1" si="246"/>
        <v>0.43612561656361709</v>
      </c>
      <c r="Z491" s="17">
        <f t="shared" ca="1" si="247"/>
        <v>46213</v>
      </c>
      <c r="AG491" s="33">
        <f t="shared" ca="1" si="248"/>
        <v>0.25203164464392352</v>
      </c>
      <c r="AH491">
        <f t="shared" ca="1" si="249"/>
        <v>0.14570658744474829</v>
      </c>
      <c r="AI491">
        <f t="shared" ca="1" si="250"/>
        <v>0.12598710091192636</v>
      </c>
      <c r="AJ491">
        <f t="shared" ca="1" si="251"/>
        <v>0.11148642328124421</v>
      </c>
      <c r="AK491">
        <f t="shared" ca="1" si="252"/>
        <v>9.5686847390892296E-2</v>
      </c>
    </row>
    <row r="492" spans="1:37" ht="17.25" customHeight="1">
      <c r="A492" s="19"/>
      <c r="B492" s="45" t="s">
        <v>403</v>
      </c>
      <c r="C492" s="28" t="s">
        <v>35</v>
      </c>
      <c r="D492" s="28" t="s">
        <v>27</v>
      </c>
      <c r="E492" s="28" t="s">
        <v>106</v>
      </c>
      <c r="F492" s="28" t="s">
        <v>29</v>
      </c>
      <c r="G492" s="28" t="s">
        <v>38</v>
      </c>
      <c r="H492" s="46" t="str">
        <f>HYPERLINK("https://innovativeincomeinvestor.com/security/pebblebrook-hotel-trust-5-70-series-h-cumulative-redeemable-preferred-shares/","PEB-H")</f>
        <v>PEB-H</v>
      </c>
      <c r="I492" s="47">
        <v>5.7000000000000002E-2</v>
      </c>
      <c r="J492" s="25">
        <f ca="1">IFERROR(__xludf.DUMMYFUNCTION("GoogleFinance(H492)"),16.2)</f>
        <v>16.2</v>
      </c>
      <c r="K492" s="67">
        <f ca="1">IFERROR(__xludf.DUMMYFUNCTION("googlefinance(H492,""change"")"),0.01)</f>
        <v>0.01</v>
      </c>
      <c r="L492" s="27">
        <f t="shared" ca="1" si="269"/>
        <v>8.8888888888888892E-2</v>
      </c>
      <c r="M492" s="27">
        <f t="shared" ca="1" si="270"/>
        <v>0.35200000000000004</v>
      </c>
      <c r="N492" s="28" t="s">
        <v>31</v>
      </c>
      <c r="O492" s="27" t="s">
        <v>32</v>
      </c>
      <c r="P492" s="27" t="s">
        <v>32</v>
      </c>
      <c r="Q492" s="29">
        <v>0.36</v>
      </c>
      <c r="R492" s="64">
        <v>46230</v>
      </c>
      <c r="S492" s="54" t="s">
        <v>41</v>
      </c>
      <c r="T492" s="62" t="s">
        <v>60</v>
      </c>
      <c r="U492" s="16">
        <f t="shared" ca="1" si="263"/>
        <v>1.0465753424657533</v>
      </c>
      <c r="V492" s="11" t="str">
        <v>All</v>
      </c>
      <c r="X492">
        <f t="shared" ca="1" si="246"/>
        <v>0.53374541090005723</v>
      </c>
      <c r="Z492" s="17">
        <f t="shared" ca="1" si="247"/>
        <v>46213</v>
      </c>
      <c r="AG492" s="33">
        <f t="shared" ca="1" si="248"/>
        <v>0.29660087146440767</v>
      </c>
      <c r="AH492">
        <f t="shared" ca="1" si="249"/>
        <v>0.16083072699414483</v>
      </c>
      <c r="AI492">
        <f t="shared" ca="1" si="250"/>
        <v>0.13572508316696982</v>
      </c>
      <c r="AJ492">
        <f t="shared" ca="1" si="251"/>
        <v>0.11725706445812968</v>
      </c>
      <c r="AK492">
        <f t="shared" ca="1" si="252"/>
        <v>9.7054798631783346E-2</v>
      </c>
    </row>
    <row r="493" spans="1:37" ht="17.25" customHeight="1">
      <c r="A493" s="19"/>
      <c r="B493" s="45" t="s">
        <v>404</v>
      </c>
      <c r="C493" s="28" t="s">
        <v>35</v>
      </c>
      <c r="D493" s="28" t="s">
        <v>27</v>
      </c>
      <c r="E493" s="28" t="s">
        <v>44</v>
      </c>
      <c r="F493" s="28" t="s">
        <v>29</v>
      </c>
      <c r="G493" s="28" t="s">
        <v>38</v>
      </c>
      <c r="H493" s="55" t="str">
        <f>HYPERLINK("https://innovativeincomeinvestor.com/security/pennymac-mortgage-investment-trust-6-75-series-c-cumulative-redeemable-preferred-stock/","PMT-C")</f>
        <v>PMT-C</v>
      </c>
      <c r="I493" s="47">
        <v>6.7500000000000004E-2</v>
      </c>
      <c r="J493" s="25">
        <f ca="1">IFERROR(__xludf.DUMMYFUNCTION("GoogleFinance(H493)"),19.05)</f>
        <v>19.05</v>
      </c>
      <c r="K493" s="48">
        <f ca="1">IFERROR(__xludf.DUMMYFUNCTION("googlefinance(H493,""change"")"),-0.05)</f>
        <v>-0.05</v>
      </c>
      <c r="L493" s="27">
        <f t="shared" ca="1" si="269"/>
        <v>8.8188976377952755E-2</v>
      </c>
      <c r="M493" s="27">
        <f t="shared" ref="M493:M494" ca="1" si="272">L493*U493+(25-J493)/25/U493</f>
        <v>0.31093963868448948</v>
      </c>
      <c r="N493" s="28" t="s">
        <v>31</v>
      </c>
      <c r="O493" s="28" t="s">
        <v>32</v>
      </c>
      <c r="P493" s="28" t="s">
        <v>32</v>
      </c>
      <c r="Q493" s="29">
        <v>0.42</v>
      </c>
      <c r="R493" s="64">
        <v>46258</v>
      </c>
      <c r="S493" s="54" t="s">
        <v>41</v>
      </c>
      <c r="T493" s="62" t="s">
        <v>52</v>
      </c>
      <c r="U493" s="16">
        <f t="shared" ca="1" si="263"/>
        <v>1.1232876712328768</v>
      </c>
      <c r="V493" s="11" t="str">
        <v>All</v>
      </c>
      <c r="X493">
        <f t="shared" ca="1" si="246"/>
        <v>0.3616126448445971</v>
      </c>
      <c r="Z493" s="17">
        <f t="shared" ca="1" si="247"/>
        <v>46213</v>
      </c>
      <c r="AG493" s="33">
        <f t="shared" ca="1" si="248"/>
        <v>0.2173953570105589</v>
      </c>
      <c r="AH493">
        <f t="shared" ca="1" si="249"/>
        <v>0.13353265642057</v>
      </c>
      <c r="AI493">
        <f t="shared" ca="1" si="250"/>
        <v>0.11794123861943831</v>
      </c>
      <c r="AJ493">
        <f t="shared" ca="1" si="251"/>
        <v>0.10647696027643844</v>
      </c>
      <c r="AK493">
        <f t="shared" ca="1" si="252"/>
        <v>9.4012993904653161E-2</v>
      </c>
    </row>
    <row r="494" spans="1:37" ht="17.25" customHeight="1">
      <c r="A494" s="19"/>
      <c r="B494" s="45" t="s">
        <v>404</v>
      </c>
      <c r="C494" s="28" t="s">
        <v>27</v>
      </c>
      <c r="D494" s="28" t="s">
        <v>27</v>
      </c>
      <c r="E494" s="28" t="s">
        <v>44</v>
      </c>
      <c r="F494" s="36" t="s">
        <v>29</v>
      </c>
      <c r="G494" s="28" t="s">
        <v>30</v>
      </c>
      <c r="H494" s="83" t="str">
        <f>HYPERLINK("https://innovativeincomeinvestor.com/security/pennymac-mortgage-investment-trust-8-50-senior-notes-due-2028/","PMTU")</f>
        <v>PMTU</v>
      </c>
      <c r="I494" s="47">
        <v>8.5000000000000006E-2</v>
      </c>
      <c r="J494" s="65">
        <f ca="1">IFERROR(__xludf.DUMMYFUNCTION("GoogleFinance(H494)"),25.2)</f>
        <v>25.2</v>
      </c>
      <c r="K494" s="48">
        <f ca="1">IFERROR(__xludf.DUMMYFUNCTION("googlefinance(H494,""change"")"),0.02)</f>
        <v>0.02</v>
      </c>
      <c r="L494" s="27">
        <f t="shared" ca="1" si="269"/>
        <v>8.4285714285714297E-2</v>
      </c>
      <c r="M494" s="27">
        <f t="shared" ca="1" si="272"/>
        <v>-1.6674335353920929E-2</v>
      </c>
      <c r="N494" s="28" t="s">
        <v>31</v>
      </c>
      <c r="O494" s="28" t="s">
        <v>32</v>
      </c>
      <c r="P494" s="28" t="s">
        <v>32</v>
      </c>
      <c r="Q494" s="29">
        <v>0.53100000000000003</v>
      </c>
      <c r="R494" s="64">
        <v>45930</v>
      </c>
      <c r="S494" s="61">
        <v>47026</v>
      </c>
      <c r="T494" s="50" t="s">
        <v>56</v>
      </c>
      <c r="U494" s="16">
        <f t="shared" ca="1" si="263"/>
        <v>0.22465753424657534</v>
      </c>
      <c r="V494" s="11" t="str">
        <v>All</v>
      </c>
      <c r="X494">
        <f t="shared" ca="1" si="246"/>
        <v>7.6613300061366407E-2</v>
      </c>
      <c r="Z494" s="17">
        <f t="shared" ca="1" si="247"/>
        <v>46213</v>
      </c>
      <c r="AG494" s="33">
        <f t="shared" ca="1" si="248"/>
        <v>8.0628726678805773E-2</v>
      </c>
      <c r="AH494">
        <f t="shared" ca="1" si="249"/>
        <v>8.3027187905662034E-2</v>
      </c>
      <c r="AI494">
        <f t="shared" ca="1" si="250"/>
        <v>8.347754536928409E-2</v>
      </c>
      <c r="AJ494">
        <f t="shared" ca="1" si="251"/>
        <v>8.3809455906161262E-2</v>
      </c>
      <c r="AK494">
        <f t="shared" ca="1" si="252"/>
        <v>8.4168286750767915E-2</v>
      </c>
    </row>
    <row r="495" spans="1:37" ht="17.25" customHeight="1">
      <c r="A495" s="19"/>
      <c r="B495" s="45" t="s">
        <v>404</v>
      </c>
      <c r="C495" s="28" t="s">
        <v>27</v>
      </c>
      <c r="D495" s="28" t="s">
        <v>27</v>
      </c>
      <c r="E495" s="28" t="s">
        <v>44</v>
      </c>
      <c r="F495" s="36" t="s">
        <v>29</v>
      </c>
      <c r="G495" s="28" t="s">
        <v>30</v>
      </c>
      <c r="H495" s="66" t="str">
        <f>HYPERLINK("https://innovativeincomeinvestor.com/security/pennymac-mortgage-investment-trust-9-00-senior-notes-due-2030/","PMTV")</f>
        <v>PMTV</v>
      </c>
      <c r="I495" s="47">
        <v>0.09</v>
      </c>
      <c r="J495" s="26">
        <f ca="1">IFERROR(__xludf.DUMMYFUNCTION("importxml(""https://bigcharts.marketwatch.com/quickchart/quickchart.asp?symb=pmtv&amp;insttype=Stock"",""/html/body/div[1]/div[2]/table/tbody/tr/td[1]/table/tbody/tr[3]/td[1]/div"")"),25.31)</f>
        <v>25.31</v>
      </c>
      <c r="K495" s="48">
        <f ca="1">IFERROR(__xludf.DUMMYFUNCTION("googlefinance(H495,""change"")"),0.13)</f>
        <v>0.13</v>
      </c>
      <c r="L495" s="27">
        <f t="shared" ca="1" si="269"/>
        <v>8.8502568154879502E-2</v>
      </c>
      <c r="M495" s="27"/>
      <c r="N495" s="28" t="s">
        <v>31</v>
      </c>
      <c r="O495" s="28" t="s">
        <v>32</v>
      </c>
      <c r="P495" s="28" t="s">
        <v>32</v>
      </c>
      <c r="Q495" s="29">
        <v>0.56000000000000005</v>
      </c>
      <c r="R495" s="64">
        <v>46433</v>
      </c>
      <c r="S495" s="61">
        <v>47529</v>
      </c>
      <c r="T495" s="50" t="s">
        <v>33</v>
      </c>
      <c r="U495" s="16"/>
      <c r="V495" s="11" t="str">
        <v>All</v>
      </c>
      <c r="X495">
        <f t="shared" ca="1" si="246"/>
        <v>7.6997580557525966E-2</v>
      </c>
      <c r="Z495" s="17">
        <f t="shared" ca="1" si="247"/>
        <v>46213</v>
      </c>
      <c r="AG495" s="33">
        <f t="shared" ca="1" si="248"/>
        <v>8.3205706715837283E-2</v>
      </c>
      <c r="AH495">
        <f t="shared" ca="1" si="249"/>
        <v>8.6913764219520184E-2</v>
      </c>
      <c r="AI495">
        <f t="shared" ca="1" si="250"/>
        <v>8.760908402656839E-2</v>
      </c>
      <c r="AJ495">
        <f t="shared" ca="1" si="251"/>
        <v>8.8120205127410062E-2</v>
      </c>
      <c r="AK495">
        <f t="shared" ca="1" si="252"/>
        <v>8.8668655386216738E-2</v>
      </c>
    </row>
    <row r="496" spans="1:37" ht="17.25" customHeight="1">
      <c r="A496" s="19"/>
      <c r="B496" s="45" t="s">
        <v>404</v>
      </c>
      <c r="C496" s="28" t="s">
        <v>35</v>
      </c>
      <c r="D496" s="28" t="s">
        <v>27</v>
      </c>
      <c r="E496" s="28" t="s">
        <v>44</v>
      </c>
      <c r="F496" s="52" t="s">
        <v>405</v>
      </c>
      <c r="G496" s="28" t="s">
        <v>38</v>
      </c>
      <c r="H496" s="66" t="str">
        <f>HYPERLINK("https://innovativeincomeinvestor.com/security/pennymac-mortgaeg-investment-trust-7-125-series-a-fixed-to-floating-rate-cumulative-redeemable-preferred-stock/","PMT-A")</f>
        <v>PMT-A</v>
      </c>
      <c r="I496" s="47">
        <v>8.1250000000000003E-2</v>
      </c>
      <c r="J496" s="65">
        <f ca="1">IFERROR(__xludf.DUMMYFUNCTION("GoogleFinance(H496)"),23.67)</f>
        <v>23.67</v>
      </c>
      <c r="K496" s="48">
        <f ca="1">IFERROR(__xludf.DUMMYFUNCTION("googlefinance(H496,""change"")"),0.11)</f>
        <v>0.11</v>
      </c>
      <c r="L496" s="27">
        <f t="shared" ca="1" si="269"/>
        <v>8.5815378115758331E-2</v>
      </c>
      <c r="M496" s="27">
        <f t="shared" ref="M496:M497" ca="1" si="273">L496*U496+(25-J496)/25/U496</f>
        <v>-0.1536096282917378</v>
      </c>
      <c r="N496" s="28" t="s">
        <v>31</v>
      </c>
      <c r="O496" s="28" t="s">
        <v>32</v>
      </c>
      <c r="P496" s="28" t="s">
        <v>32</v>
      </c>
      <c r="Q496" s="29">
        <f t="shared" ref="Q496:Q497" si="274">(I496*25)/4</f>
        <v>0.5078125</v>
      </c>
      <c r="R496" s="64">
        <v>45366</v>
      </c>
      <c r="S496" s="54" t="s">
        <v>41</v>
      </c>
      <c r="T496" s="62" t="s">
        <v>52</v>
      </c>
      <c r="U496" s="16">
        <f t="shared" ref="U496:U507" ca="1" si="275">(R496-TODAY())/365</f>
        <v>-1.3205479452054794</v>
      </c>
      <c r="V496" s="11" t="str">
        <v>All</v>
      </c>
      <c r="X496">
        <f t="shared" ca="1" si="246"/>
        <v>0.13915602664721727</v>
      </c>
      <c r="Z496" s="17">
        <f t="shared" ca="1" si="247"/>
        <v>46213</v>
      </c>
      <c r="AG496" s="33">
        <f t="shared" ca="1" si="248"/>
        <v>0.11128678955804293</v>
      </c>
      <c r="AH496">
        <f t="shared" ca="1" si="249"/>
        <v>9.4736631512357727E-2</v>
      </c>
      <c r="AI496">
        <f t="shared" ca="1" si="250"/>
        <v>9.1635086392803933E-2</v>
      </c>
      <c r="AJ496">
        <f t="shared" ca="1" si="251"/>
        <v>8.9353663769628139E-2</v>
      </c>
      <c r="AK496">
        <f t="shared" ca="1" si="252"/>
        <v>8.6881756050017855E-2</v>
      </c>
    </row>
    <row r="497" spans="1:37" ht="17.25" customHeight="1">
      <c r="A497" s="19"/>
      <c r="B497" s="45" t="s">
        <v>404</v>
      </c>
      <c r="C497" s="28" t="s">
        <v>35</v>
      </c>
      <c r="D497" s="28" t="s">
        <v>27</v>
      </c>
      <c r="E497" s="28" t="s">
        <v>44</v>
      </c>
      <c r="F497" s="52" t="s">
        <v>405</v>
      </c>
      <c r="G497" s="28" t="s">
        <v>38</v>
      </c>
      <c r="H497" s="51" t="str">
        <f>HYPERLINK("https://innovativeincomeinvestor.com/security/pennymac-mortgage-investment-trust-8-series-b-fixed-to-floating-rate-cumulative-redeemable-preferred-shares/","PMT-B")</f>
        <v>PMT-B</v>
      </c>
      <c r="I497" s="47">
        <v>0.08</v>
      </c>
      <c r="J497" s="25">
        <f ca="1">IFERROR(__xludf.DUMMYFUNCTION("GoogleFinance(H497)"),23.52)</f>
        <v>23.52</v>
      </c>
      <c r="K497" s="48">
        <f ca="1">IFERROR(__xludf.DUMMYFUNCTION("googlefinance(H497,""change"")"),0.11)</f>
        <v>0.11</v>
      </c>
      <c r="L497" s="27">
        <f t="shared" ca="1" si="269"/>
        <v>8.5034013605442174E-2</v>
      </c>
      <c r="M497" s="27">
        <f t="shared" ca="1" si="273"/>
        <v>-0.14626338931779248</v>
      </c>
      <c r="N497" s="28" t="s">
        <v>31</v>
      </c>
      <c r="O497" s="28" t="s">
        <v>32</v>
      </c>
      <c r="P497" s="28" t="s">
        <v>32</v>
      </c>
      <c r="Q497" s="29">
        <f t="shared" si="274"/>
        <v>0.5</v>
      </c>
      <c r="R497" s="64">
        <v>45458</v>
      </c>
      <c r="S497" s="54" t="s">
        <v>41</v>
      </c>
      <c r="T497" s="62" t="s">
        <v>52</v>
      </c>
      <c r="U497" s="16">
        <f t="shared" ca="1" si="275"/>
        <v>-1.0684931506849316</v>
      </c>
      <c r="V497" s="11" t="str">
        <v>All</v>
      </c>
      <c r="X497">
        <f t="shared" ca="1" si="246"/>
        <v>0.14464696276563138</v>
      </c>
      <c r="Z497" s="17">
        <f t="shared" ca="1" si="247"/>
        <v>46213</v>
      </c>
      <c r="AG497" s="33">
        <f t="shared" ca="1" si="248"/>
        <v>0.1135029258338482</v>
      </c>
      <c r="AH497">
        <f t="shared" ca="1" si="249"/>
        <v>9.5017780450946207E-2</v>
      </c>
      <c r="AI497">
        <f t="shared" ca="1" si="250"/>
        <v>9.155345997735749E-2</v>
      </c>
      <c r="AJ497">
        <f t="shared" ca="1" si="251"/>
        <v>8.9004160181339984E-2</v>
      </c>
      <c r="AK497">
        <f t="shared" ca="1" si="252"/>
        <v>8.623792992654504E-2</v>
      </c>
    </row>
    <row r="498" spans="1:37" ht="17.25" customHeight="1">
      <c r="A498" s="19"/>
      <c r="B498" s="45" t="s">
        <v>406</v>
      </c>
      <c r="C498" s="28" t="s">
        <v>27</v>
      </c>
      <c r="D498" s="28" t="s">
        <v>27</v>
      </c>
      <c r="E498" s="28" t="s">
        <v>171</v>
      </c>
      <c r="F498" s="36" t="s">
        <v>29</v>
      </c>
      <c r="G498" s="28" t="s">
        <v>30</v>
      </c>
      <c r="H498" s="23" t="str">
        <f>HYPERLINK("https://innovativeincomeinvestor.com/security/phenixfin-corporation-5-25-notes-due-2028/","PFXNZ")</f>
        <v>PFXNZ</v>
      </c>
      <c r="I498" s="47">
        <v>5.2499999999999998E-2</v>
      </c>
      <c r="J498" s="65">
        <f ca="1">IFERROR(__xludf.DUMMYFUNCTION("GoogleFinance(H498)"),23.4)</f>
        <v>23.4</v>
      </c>
      <c r="K498" s="48">
        <f ca="1">IFERROR(__xludf.DUMMYFUNCTION("googlefinance(H498,""change"")"),0)</f>
        <v>0</v>
      </c>
      <c r="L498" s="27">
        <f t="shared" ca="1" si="269"/>
        <v>5.6410256410256418E-2</v>
      </c>
      <c r="M498" s="27">
        <f ca="1">(25-J498)/25</f>
        <v>6.4000000000000057E-2</v>
      </c>
      <c r="N498" s="28" t="s">
        <v>31</v>
      </c>
      <c r="O498" s="28" t="s">
        <v>32</v>
      </c>
      <c r="P498" s="28" t="s">
        <v>32</v>
      </c>
      <c r="Q498" s="29">
        <v>0.33</v>
      </c>
      <c r="R498" s="64">
        <v>45231</v>
      </c>
      <c r="S498" s="61">
        <v>47058</v>
      </c>
      <c r="T498" s="50" t="s">
        <v>101</v>
      </c>
      <c r="U498" s="16">
        <f t="shared" ca="1" si="275"/>
        <v>-1.6904109589041096</v>
      </c>
      <c r="V498" s="11" t="str">
        <v>All</v>
      </c>
      <c r="X498">
        <f t="shared" ca="1" si="246"/>
        <v>0.12142980277600159</v>
      </c>
      <c r="Z498" s="17">
        <f t="shared" ca="1" si="247"/>
        <v>46213</v>
      </c>
      <c r="AG498" s="33">
        <f t="shared" ca="1" si="248"/>
        <v>8.7738501027012042E-2</v>
      </c>
      <c r="AH498">
        <f t="shared" ca="1" si="249"/>
        <v>6.7702295015897071E-2</v>
      </c>
      <c r="AI498">
        <f t="shared" ca="1" si="250"/>
        <v>6.3918741245491045E-2</v>
      </c>
      <c r="AJ498">
        <f t="shared" ca="1" si="251"/>
        <v>6.1103686529841272E-2</v>
      </c>
      <c r="AK498">
        <f t="shared" ca="1" si="252"/>
        <v>5.792608894549113E-2</v>
      </c>
    </row>
    <row r="499" spans="1:37" ht="17.25" customHeight="1">
      <c r="A499" s="19"/>
      <c r="B499" s="45" t="s">
        <v>407</v>
      </c>
      <c r="C499" s="28" t="s">
        <v>27</v>
      </c>
      <c r="D499" s="28" t="s">
        <v>35</v>
      </c>
      <c r="E499" s="28" t="s">
        <v>110</v>
      </c>
      <c r="F499" s="36" t="s">
        <v>29</v>
      </c>
      <c r="G499" s="28" t="s">
        <v>38</v>
      </c>
      <c r="H499" s="23" t="str">
        <f>HYPERLINK("https://innovativeincomeinvestor.com/security/pinnacle-financial-partners-6-75-fixed-rate-non-cumulative-perpetual-preferred-stock-series-b/","PNFPP")</f>
        <v>PNFPP</v>
      </c>
      <c r="I499" s="47">
        <v>6.7500000000000004E-2</v>
      </c>
      <c r="J499" s="65">
        <f ca="1">IFERROR(__xludf.DUMMYFUNCTION("GoogleFinance(H499)"),24.42)</f>
        <v>24.42</v>
      </c>
      <c r="K499" s="48">
        <f ca="1">IFERROR(__xludf.DUMMYFUNCTION("googlefinance(H499,""change"")"),0.22)</f>
        <v>0.22</v>
      </c>
      <c r="L499" s="27">
        <f t="shared" ca="1" si="269"/>
        <v>6.9103194103194099E-2</v>
      </c>
      <c r="M499" s="27">
        <f t="array" aca="1" ref="M499" ca="1">L499*U499+(25-J499)/25/U499</f>
        <v>0.16980774733708265</v>
      </c>
      <c r="N499" s="28" t="s">
        <v>31</v>
      </c>
      <c r="O499" s="28" t="s">
        <v>32</v>
      </c>
      <c r="P499" s="28" t="s">
        <v>32</v>
      </c>
      <c r="Q499" s="29">
        <f>(I499*25)/4</f>
        <v>0.421875</v>
      </c>
      <c r="R499" s="64">
        <v>45901</v>
      </c>
      <c r="S499" s="54" t="s">
        <v>41</v>
      </c>
      <c r="T499" s="50" t="s">
        <v>81</v>
      </c>
      <c r="U499" s="16">
        <f t="shared" ca="1" si="275"/>
        <v>0.14520547945205478</v>
      </c>
      <c r="V499" s="11" t="str">
        <v>All</v>
      </c>
      <c r="X499">
        <f t="shared" ca="1" si="246"/>
        <v>9.2049905000186186E-2</v>
      </c>
      <c r="Z499" s="17">
        <f t="shared" ca="1" si="247"/>
        <v>46213</v>
      </c>
      <c r="AG499" s="33">
        <f t="shared" ca="1" si="248"/>
        <v>8.0170435833360962E-2</v>
      </c>
      <c r="AH499">
        <f t="shared" ca="1" si="249"/>
        <v>7.308325150736894E-2</v>
      </c>
      <c r="AI499">
        <f t="shared" ca="1" si="250"/>
        <v>7.1746956595083664E-2</v>
      </c>
      <c r="AJ499">
        <f t="shared" ca="1" si="251"/>
        <v>7.0757212328194263E-2</v>
      </c>
      <c r="AK499">
        <f t="shared" ca="1" si="252"/>
        <v>6.9658444949843509E-2</v>
      </c>
    </row>
    <row r="500" spans="1:37" ht="17.25" customHeight="1">
      <c r="A500" s="19"/>
      <c r="B500" s="45" t="s">
        <v>408</v>
      </c>
      <c r="C500" s="28" t="s">
        <v>27</v>
      </c>
      <c r="D500" s="28" t="s">
        <v>27</v>
      </c>
      <c r="E500" s="28" t="s">
        <v>67</v>
      </c>
      <c r="F500" s="36" t="s">
        <v>29</v>
      </c>
      <c r="G500" s="28" t="s">
        <v>30</v>
      </c>
      <c r="H500" s="66" t="str">
        <f>HYPERLINK("https://innovativeincomeinvestor.com/security/pitneybowes-6-70-notes-due-2043/","PBI-B")</f>
        <v>PBI-B</v>
      </c>
      <c r="I500" s="47">
        <v>6.7000000000000004E-2</v>
      </c>
      <c r="J500" s="65">
        <f ca="1">IFERROR(__xludf.DUMMYFUNCTION("GoogleFinance(H500)"),19.45)</f>
        <v>19.45</v>
      </c>
      <c r="K500" s="26">
        <f ca="1">IFERROR(__xludf.DUMMYFUNCTION("GOOGLEFINANCE(H500,""change"")"),-0.15)</f>
        <v>-0.15</v>
      </c>
      <c r="L500" s="27">
        <f ca="1">Q500*4/J500</f>
        <v>8.637532133676093E-2</v>
      </c>
      <c r="M500" s="27">
        <f t="shared" ref="M500:M502" ca="1" si="276">(25-J500)/25</f>
        <v>0.22200000000000003</v>
      </c>
      <c r="N500" s="28" t="s">
        <v>31</v>
      </c>
      <c r="O500" s="28" t="s">
        <v>30</v>
      </c>
      <c r="P500" s="28" t="s">
        <v>387</v>
      </c>
      <c r="Q500" s="65">
        <v>0.42</v>
      </c>
      <c r="R500" s="64">
        <v>43166</v>
      </c>
      <c r="S500" s="64">
        <v>52297</v>
      </c>
      <c r="T500" s="62" t="s">
        <v>409</v>
      </c>
      <c r="U500" s="16">
        <f t="shared" ca="1" si="275"/>
        <v>-7.3479452054794523</v>
      </c>
      <c r="V500" s="11" t="str">
        <v>All</v>
      </c>
      <c r="X500">
        <f t="shared" ca="1" si="246"/>
        <v>0.33776019469874052</v>
      </c>
      <c r="Z500" s="17">
        <f t="shared" ca="1" si="247"/>
        <v>46213</v>
      </c>
      <c r="AG500" s="33">
        <f t="shared" ca="1" si="248"/>
        <v>0.20510228494010097</v>
      </c>
      <c r="AH500">
        <f t="shared" ca="1" si="249"/>
        <v>0.1277910379937344</v>
      </c>
      <c r="AI500">
        <f t="shared" ca="1" si="250"/>
        <v>0.11339764221146885</v>
      </c>
      <c r="AJ500">
        <f t="shared" ca="1" si="251"/>
        <v>0.10280423171055343</v>
      </c>
      <c r="AK500">
        <f t="shared" ca="1" si="252"/>
        <v>9.1253071087258497E-2</v>
      </c>
    </row>
    <row r="501" spans="1:37" ht="17.25" customHeight="1">
      <c r="A501" s="19"/>
      <c r="B501" s="100" t="s">
        <v>410</v>
      </c>
      <c r="C501" s="71" t="s">
        <v>27</v>
      </c>
      <c r="D501" s="71" t="s">
        <v>27</v>
      </c>
      <c r="E501" s="71" t="s">
        <v>110</v>
      </c>
      <c r="F501" s="71" t="s">
        <v>29</v>
      </c>
      <c r="G501" s="71" t="s">
        <v>71</v>
      </c>
      <c r="H501" s="130" t="str">
        <f>HYPERLINK("https://innovativeincomeinvestor.com/security/popular-capital-trust-ii-6-125-cumul-monthly-income-trust-preferred-securities/","BPOPM")</f>
        <v>BPOPM</v>
      </c>
      <c r="I501" s="73">
        <v>6.1249999999999999E-2</v>
      </c>
      <c r="J501" s="74">
        <f ca="1">IFERROR(__xludf.DUMMYFUNCTION("GoogleFinance(H501)"),25.02)</f>
        <v>25.02</v>
      </c>
      <c r="K501" s="74">
        <f ca="1">IFERROR(__xludf.DUMMYFUNCTION("googlefinance(H501,""change"")"),-0.03)</f>
        <v>-0.03</v>
      </c>
      <c r="L501" s="75">
        <f t="shared" ref="L501:L502" ca="1" si="277">(Q501*12)/J501</f>
        <v>6.1201039168665067E-2</v>
      </c>
      <c r="M501" s="75">
        <f t="shared" ca="1" si="276"/>
        <v>-7.9999999999998291E-4</v>
      </c>
      <c r="N501" s="71" t="s">
        <v>31</v>
      </c>
      <c r="O501" s="71" t="s">
        <v>223</v>
      </c>
      <c r="P501" s="71" t="s">
        <v>411</v>
      </c>
      <c r="Q501" s="76">
        <f t="shared" ref="Q501:Q502" si="278">(I501*25)/12</f>
        <v>0.12760416666666666</v>
      </c>
      <c r="R501" s="77">
        <v>40148</v>
      </c>
      <c r="S501" s="158">
        <v>49279</v>
      </c>
      <c r="T501" s="78" t="s">
        <v>65</v>
      </c>
      <c r="U501" s="16">
        <f t="shared" ca="1" si="275"/>
        <v>-15.616438356164384</v>
      </c>
      <c r="V501" s="11" t="str">
        <v>All</v>
      </c>
      <c r="X501">
        <f t="shared" ca="1" si="246"/>
        <v>6.0419563760149578E-2</v>
      </c>
      <c r="Z501" s="17">
        <f t="shared" ca="1" si="247"/>
        <v>46213</v>
      </c>
      <c r="AG501" s="33">
        <f t="shared" ca="1" si="248"/>
        <v>6.0822148261884881E-2</v>
      </c>
      <c r="AH501">
        <f t="shared" ca="1" si="249"/>
        <v>6.1062739064769611E-2</v>
      </c>
      <c r="AI501">
        <f t="shared" ca="1" si="250"/>
        <v>6.1108141096792683E-2</v>
      </c>
      <c r="AJ501">
        <f t="shared" ca="1" si="251"/>
        <v>6.1142092963188531E-2</v>
      </c>
      <c r="AK501">
        <f t="shared" ca="1" si="252"/>
        <v>6.1179833296186592E-2</v>
      </c>
    </row>
    <row r="502" spans="1:37" ht="17.25" customHeight="1">
      <c r="A502" s="19"/>
      <c r="B502" s="100" t="s">
        <v>410</v>
      </c>
      <c r="C502" s="71" t="s">
        <v>27</v>
      </c>
      <c r="D502" s="71" t="s">
        <v>35</v>
      </c>
      <c r="E502" s="71" t="s">
        <v>110</v>
      </c>
      <c r="F502" s="71" t="s">
        <v>29</v>
      </c>
      <c r="G502" s="71" t="s">
        <v>38</v>
      </c>
      <c r="H502" s="217" t="str">
        <f>HYPERLINK("https://innovativeincomeinvestor.com/security/popular-inc-6-375-non-cumul-monthly-income-preferred-stock-2003-series-a/","BPOPO")</f>
        <v>BPOPO</v>
      </c>
      <c r="I502" s="73">
        <v>6.3799999999999996E-2</v>
      </c>
      <c r="J502" s="74">
        <f ca="1">IFERROR(__xludf.DUMMYFUNCTION("GoogleFinance(H502)"),24.8)</f>
        <v>24.8</v>
      </c>
      <c r="K502" s="74">
        <f ca="1">IFERROR(__xludf.DUMMYFUNCTION("googlefinance(H502,""change"")"),0.15)</f>
        <v>0.15</v>
      </c>
      <c r="L502" s="75">
        <f t="shared" ca="1" si="277"/>
        <v>6.4314516129032245E-2</v>
      </c>
      <c r="M502" s="75">
        <f t="shared" ca="1" si="276"/>
        <v>7.9999999999999724E-3</v>
      </c>
      <c r="N502" s="71" t="s">
        <v>31</v>
      </c>
      <c r="O502" s="71" t="s">
        <v>386</v>
      </c>
      <c r="P502" s="71" t="s">
        <v>225</v>
      </c>
      <c r="Q502" s="76">
        <f t="shared" si="278"/>
        <v>0.13291666666666666</v>
      </c>
      <c r="R502" s="77">
        <v>39538</v>
      </c>
      <c r="S502" s="74" t="s">
        <v>41</v>
      </c>
      <c r="T502" s="78" t="s">
        <v>178</v>
      </c>
      <c r="U502" s="16">
        <f t="shared" ca="1" si="275"/>
        <v>-17.287671232876711</v>
      </c>
      <c r="V502" s="11" t="str">
        <v>All</v>
      </c>
      <c r="X502">
        <f t="shared" ca="1" si="246"/>
        <v>7.2164045705940774E-2</v>
      </c>
      <c r="Z502" s="17">
        <f t="shared" ca="1" si="247"/>
        <v>46213</v>
      </c>
      <c r="AG502" s="33">
        <f t="shared" ca="1" si="248"/>
        <v>6.8112542420391428E-2</v>
      </c>
      <c r="AH502">
        <f t="shared" ca="1" si="249"/>
        <v>6.5690659582300887E-2</v>
      </c>
      <c r="AI502">
        <f t="shared" ca="1" si="250"/>
        <v>6.5233113232003384E-2</v>
      </c>
      <c r="AJ502">
        <f t="shared" ca="1" si="251"/>
        <v>6.4893758614462033E-2</v>
      </c>
      <c r="AK502">
        <f t="shared" ca="1" si="252"/>
        <v>6.4514528366040227E-2</v>
      </c>
    </row>
    <row r="503" spans="1:37" ht="17.25" customHeight="1">
      <c r="A503" s="19"/>
      <c r="B503" s="100" t="s">
        <v>412</v>
      </c>
      <c r="C503" s="71" t="s">
        <v>35</v>
      </c>
      <c r="D503" s="71" t="s">
        <v>27</v>
      </c>
      <c r="E503" s="71" t="s">
        <v>63</v>
      </c>
      <c r="F503" s="71" t="s">
        <v>29</v>
      </c>
      <c r="G503" s="71" t="s">
        <v>38</v>
      </c>
      <c r="H503" s="72" t="str">
        <f>HYPERLINK("https://innovativeincomeinvestor.com/security/presidio-property-trust-9-375-seris-d-cumulative-redeemable-perpetual-preferred-stock/","SQFTP")</f>
        <v>SQFTP</v>
      </c>
      <c r="I503" s="73">
        <v>9.375E-2</v>
      </c>
      <c r="J503" s="74">
        <f ca="1">IFERROR(__xludf.DUMMYFUNCTION("GoogleFinance(H503)"),13.89)</f>
        <v>13.89</v>
      </c>
      <c r="K503" s="74">
        <f ca="1">IFERROR(__xludf.DUMMYFUNCTION("googlefinance(H503,""change"")"),-0.03)</f>
        <v>-0.03</v>
      </c>
      <c r="L503" s="75">
        <f ca="1">(Q503*4)/J503</f>
        <v>0.16990640748740099</v>
      </c>
      <c r="M503" s="75">
        <f t="shared" ref="M503:M504" ca="1" si="279">L503*U503+(25-J503)/25/U503</f>
        <v>0.63534545290526634</v>
      </c>
      <c r="N503" s="71" t="s">
        <v>31</v>
      </c>
      <c r="O503" s="71" t="s">
        <v>32</v>
      </c>
      <c r="P503" s="71" t="s">
        <v>32</v>
      </c>
      <c r="Q503" s="76">
        <v>0.59</v>
      </c>
      <c r="R503" s="77">
        <v>46188</v>
      </c>
      <c r="S503" s="74" t="s">
        <v>41</v>
      </c>
      <c r="T503" s="78" t="s">
        <v>174</v>
      </c>
      <c r="U503" s="16">
        <f t="shared" ca="1" si="275"/>
        <v>0.93150684931506844</v>
      </c>
      <c r="V503" s="11" t="str">
        <v>All</v>
      </c>
      <c r="X503">
        <f t="shared" ca="1" si="246"/>
        <v>0.77100570513935951</v>
      </c>
      <c r="Z503" s="17">
        <f t="shared" ca="1" si="247"/>
        <v>46213</v>
      </c>
      <c r="AG503" s="33">
        <f t="shared" ca="1" si="248"/>
        <v>0.43880814027401366</v>
      </c>
      <c r="AH503">
        <f t="shared" ca="1" si="249"/>
        <v>0.2528317175954321</v>
      </c>
      <c r="AI503">
        <f t="shared" ca="1" si="250"/>
        <v>0.21950453685282539</v>
      </c>
      <c r="AJ503">
        <f t="shared" ca="1" si="251"/>
        <v>0.19591753549655724</v>
      </c>
      <c r="AK503">
        <f t="shared" ca="1" si="252"/>
        <v>0.17354380125875105</v>
      </c>
    </row>
    <row r="504" spans="1:37" ht="17.25" customHeight="1">
      <c r="A504" s="19"/>
      <c r="B504" s="45" t="s">
        <v>413</v>
      </c>
      <c r="C504" s="28" t="s">
        <v>35</v>
      </c>
      <c r="D504" s="28" t="s">
        <v>36</v>
      </c>
      <c r="E504" s="28" t="s">
        <v>176</v>
      </c>
      <c r="F504" s="36" t="s">
        <v>29</v>
      </c>
      <c r="G504" s="28" t="s">
        <v>38</v>
      </c>
      <c r="H504" s="212" t="str">
        <f>HYPERLINK("https://innovativeincomeinvestor.com/security/priority-income-fund-inc-7-00-series-k-cumulative-preferred-stock/","PRIF-K")</f>
        <v>PRIF-K</v>
      </c>
      <c r="I504" s="47">
        <v>7.0000000000000007E-2</v>
      </c>
      <c r="J504" s="26">
        <f ca="1">IFERROR(__xludf.DUMMYFUNCTION("GOOGLEFINANCE(H504)"),23.25)</f>
        <v>23.25</v>
      </c>
      <c r="K504" s="26">
        <f ca="1">IFERROR(__xludf.DUMMYFUNCTION("GOOGLEFINANCE(H504,""change"")"),-0.3)</f>
        <v>-0.3</v>
      </c>
      <c r="L504" s="27">
        <f t="shared" ref="L504:L505" ca="1" si="280">Q504*4/J504</f>
        <v>7.5698924731182796E-2</v>
      </c>
      <c r="M504" s="27">
        <f t="shared" ca="1" si="279"/>
        <v>0.14986409519544547</v>
      </c>
      <c r="N504" s="28" t="s">
        <v>31</v>
      </c>
      <c r="O504" s="28" t="s">
        <v>32</v>
      </c>
      <c r="P504" s="28" t="s">
        <v>32</v>
      </c>
      <c r="Q504" s="65">
        <v>0.44</v>
      </c>
      <c r="R504" s="64">
        <v>46295</v>
      </c>
      <c r="S504" s="28" t="s">
        <v>41</v>
      </c>
      <c r="T504" s="62" t="s">
        <v>42</v>
      </c>
      <c r="U504" s="16">
        <f t="shared" ca="1" si="275"/>
        <v>1.2246575342465753</v>
      </c>
      <c r="V504" s="11" t="str">
        <v>All</v>
      </c>
      <c r="X504">
        <f t="shared" ca="1" si="246"/>
        <v>0.14652577393644922</v>
      </c>
      <c r="Z504" s="17">
        <f t="shared" ca="1" si="247"/>
        <v>46213</v>
      </c>
      <c r="AG504" s="33">
        <f t="shared" ca="1" si="248"/>
        <v>0.10944500396442509</v>
      </c>
      <c r="AH504">
        <f t="shared" ca="1" si="249"/>
        <v>8.744001232751647E-2</v>
      </c>
      <c r="AI504">
        <f t="shared" ca="1" si="250"/>
        <v>8.3305448354627123E-2</v>
      </c>
      <c r="AJ504">
        <f t="shared" ca="1" si="251"/>
        <v>8.0250010934575594E-2</v>
      </c>
      <c r="AK504">
        <f t="shared" ca="1" si="252"/>
        <v>7.688368632445744E-2</v>
      </c>
    </row>
    <row r="505" spans="1:37" ht="17.25" customHeight="1">
      <c r="A505" s="19"/>
      <c r="B505" s="45" t="s">
        <v>414</v>
      </c>
      <c r="C505" s="28" t="s">
        <v>35</v>
      </c>
      <c r="D505" s="28" t="s">
        <v>36</v>
      </c>
      <c r="E505" s="28" t="s">
        <v>176</v>
      </c>
      <c r="F505" s="36" t="s">
        <v>29</v>
      </c>
      <c r="G505" s="28" t="s">
        <v>177</v>
      </c>
      <c r="H505" s="66" t="str">
        <f>HYPERLINK("https://innovativeincomeinvestor.com/security/priority-income-fund-7-00-series-d-term-preferred-stock-due-2029/","PRIF-D")</f>
        <v>PRIF-D</v>
      </c>
      <c r="I505" s="47">
        <v>7.0000000000000007E-2</v>
      </c>
      <c r="J505" s="150">
        <f ca="1">IFERROR(__xludf.DUMMYFUNCTION("importxml(""https://bigcharts.marketwatch.com/quickchart/quickchart.asp?symb=PRIFPRD&amp;insttype=Stock"",""/html/body/div[1]/div[2]/table/tbody/tr/td[1]/table/tbody/tr[3]/td[1]/div"")"),24.79)</f>
        <v>24.79</v>
      </c>
      <c r="K505" s="26">
        <f ca="1">IFERROR(__xludf.DUMMYFUNCTION("GOOGLEFINANCE(H505,""change"")"),0.54)</f>
        <v>0.54</v>
      </c>
      <c r="L505" s="27">
        <f t="shared" ca="1" si="280"/>
        <v>7.0592981040742242E-2</v>
      </c>
      <c r="M505" s="27">
        <f t="shared" ref="M505:M506" ca="1" si="281">(25-J505)/25</f>
        <v>8.4000000000000342E-3</v>
      </c>
      <c r="N505" s="28" t="s">
        <v>31</v>
      </c>
      <c r="O505" s="28" t="s">
        <v>32</v>
      </c>
      <c r="P505" s="28" t="s">
        <v>32</v>
      </c>
      <c r="Q505" s="29">
        <f t="shared" ref="Q505:Q507" si="282">(I505*25)/4</f>
        <v>0.43750000000000006</v>
      </c>
      <c r="R505" s="64">
        <v>44651</v>
      </c>
      <c r="S505" s="64">
        <v>47299</v>
      </c>
      <c r="T505" s="62" t="s">
        <v>42</v>
      </c>
      <c r="U505" s="16">
        <f t="shared" ca="1" si="275"/>
        <v>-3.2794520547945205</v>
      </c>
      <c r="V505" s="11" t="str">
        <v>All</v>
      </c>
      <c r="X505">
        <f t="shared" ca="1" si="246"/>
        <v>7.8817830317503182E-2</v>
      </c>
      <c r="Z505" s="17">
        <f t="shared" ca="1" si="247"/>
        <v>46213</v>
      </c>
      <c r="AG505" s="33">
        <f t="shared" ca="1" si="248"/>
        <v>7.4559883357661311E-2</v>
      </c>
      <c r="AH505">
        <f t="shared" ca="1" si="249"/>
        <v>7.2016019871413733E-2</v>
      </c>
      <c r="AI505">
        <f t="shared" ca="1" si="250"/>
        <v>7.1536230584913429E-2</v>
      </c>
      <c r="AJ505">
        <f t="shared" ca="1" si="251"/>
        <v>7.1181262174785542E-2</v>
      </c>
      <c r="AK505">
        <f t="shared" ca="1" si="252"/>
        <v>7.0787869783653687E-2</v>
      </c>
    </row>
    <row r="506" spans="1:37" ht="17.25" customHeight="1">
      <c r="A506" s="68"/>
      <c r="B506" s="69" t="s">
        <v>414</v>
      </c>
      <c r="C506" s="28" t="s">
        <v>35</v>
      </c>
      <c r="D506" s="28" t="s">
        <v>36</v>
      </c>
      <c r="E506" s="28" t="s">
        <v>176</v>
      </c>
      <c r="F506" s="36" t="s">
        <v>29</v>
      </c>
      <c r="G506" s="28" t="s">
        <v>177</v>
      </c>
      <c r="H506" s="83" t="str">
        <f>HYPERLINK("https://innovativeincomeinvestor.com/security/priority-income-fund-6-625-series-f-term-preferred-stock-due-2027/","PRIF-F")</f>
        <v>PRIF-F</v>
      </c>
      <c r="I506" s="47">
        <v>6.6250000000000003E-2</v>
      </c>
      <c r="J506" s="79" t="s">
        <v>415</v>
      </c>
      <c r="K506" s="80" t="s">
        <v>415</v>
      </c>
      <c r="L506" s="81" t="s">
        <v>415</v>
      </c>
      <c r="M506" s="27" t="e">
        <f t="shared" si="281"/>
        <v>#VALUE!</v>
      </c>
      <c r="N506" s="28" t="s">
        <v>31</v>
      </c>
      <c r="O506" s="28" t="s">
        <v>32</v>
      </c>
      <c r="P506" s="28" t="s">
        <v>32</v>
      </c>
      <c r="Q506" s="29">
        <f t="shared" si="282"/>
        <v>0.4140625</v>
      </c>
      <c r="R506" s="64">
        <v>44982</v>
      </c>
      <c r="S506" s="61">
        <v>46568</v>
      </c>
      <c r="T506" s="62" t="s">
        <v>42</v>
      </c>
      <c r="U506" s="16">
        <f t="shared" ca="1" si="275"/>
        <v>-2.3726027397260272</v>
      </c>
      <c r="V506" s="11" t="str">
        <v>All</v>
      </c>
      <c r="X506" t="e">
        <f t="shared" ca="1" si="246"/>
        <v>#VALUE!</v>
      </c>
      <c r="Z506" s="17">
        <f t="shared" ca="1" si="247"/>
        <v>46213</v>
      </c>
      <c r="AG506" s="33" t="e">
        <f t="shared" ca="1" si="248"/>
        <v>#VALUE!</v>
      </c>
      <c r="AH506" t="e">
        <f t="shared" ca="1" si="249"/>
        <v>#VALUE!</v>
      </c>
      <c r="AI506" t="e">
        <f t="shared" ca="1" si="250"/>
        <v>#VALUE!</v>
      </c>
      <c r="AJ506" t="e">
        <f t="shared" ca="1" si="251"/>
        <v>#VALUE!</v>
      </c>
      <c r="AK506" t="e">
        <f t="shared" ca="1" si="252"/>
        <v>#VALUE!</v>
      </c>
    </row>
    <row r="507" spans="1:37" ht="17.25" customHeight="1">
      <c r="A507" s="19"/>
      <c r="B507" s="45" t="s">
        <v>414</v>
      </c>
      <c r="C507" s="28" t="s">
        <v>35</v>
      </c>
      <c r="D507" s="28" t="s">
        <v>36</v>
      </c>
      <c r="E507" s="28" t="s">
        <v>176</v>
      </c>
      <c r="F507" s="36" t="s">
        <v>29</v>
      </c>
      <c r="G507" s="28" t="s">
        <v>177</v>
      </c>
      <c r="H507" s="55" t="str">
        <f>HYPERLINK("https://innovativeincomeinvestor.com/security/priority-income-fund6-25-series-g-term-preferred-stock-due-2026/","PRIF-G")</f>
        <v>PRIF-G</v>
      </c>
      <c r="I507" s="47">
        <v>6.25E-2</v>
      </c>
      <c r="J507" s="86" t="s">
        <v>68</v>
      </c>
      <c r="K507" s="169" t="s">
        <v>68</v>
      </c>
      <c r="L507" s="88" t="s">
        <v>68</v>
      </c>
      <c r="M507" s="88" t="s">
        <v>68</v>
      </c>
      <c r="N507" s="28" t="s">
        <v>31</v>
      </c>
      <c r="O507" s="28" t="s">
        <v>32</v>
      </c>
      <c r="P507" s="28" t="s">
        <v>32</v>
      </c>
      <c r="Q507" s="29">
        <f t="shared" si="282"/>
        <v>0.390625</v>
      </c>
      <c r="R507" s="64">
        <v>45004</v>
      </c>
      <c r="S507" s="61">
        <v>46203</v>
      </c>
      <c r="T507" s="62" t="s">
        <v>42</v>
      </c>
      <c r="U507" s="16">
        <f t="shared" ca="1" si="275"/>
        <v>-2.3123287671232875</v>
      </c>
      <c r="V507" s="11" t="str">
        <v>All</v>
      </c>
      <c r="X507" t="e">
        <f t="shared" ca="1" si="246"/>
        <v>#VALUE!</v>
      </c>
      <c r="Z507" s="17">
        <f t="shared" ca="1" si="247"/>
        <v>46213</v>
      </c>
      <c r="AG507" s="33" t="e">
        <f t="shared" ca="1" si="248"/>
        <v>#VALUE!</v>
      </c>
      <c r="AH507" t="e">
        <f t="shared" ca="1" si="249"/>
        <v>#VALUE!</v>
      </c>
      <c r="AI507" t="e">
        <f t="shared" ca="1" si="250"/>
        <v>#VALUE!</v>
      </c>
      <c r="AJ507" t="e">
        <f t="shared" ca="1" si="251"/>
        <v>#VALUE!</v>
      </c>
      <c r="AK507" t="e">
        <f t="shared" ca="1" si="252"/>
        <v>#VALUE!</v>
      </c>
    </row>
    <row r="508" spans="1:37" ht="17.25" customHeight="1">
      <c r="A508" s="19"/>
      <c r="B508" s="45" t="s">
        <v>414</v>
      </c>
      <c r="C508" s="28" t="s">
        <v>35</v>
      </c>
      <c r="D508" s="28" t="s">
        <v>36</v>
      </c>
      <c r="E508" s="28" t="s">
        <v>176</v>
      </c>
      <c r="F508" s="36" t="s">
        <v>29</v>
      </c>
      <c r="G508" s="28" t="s">
        <v>177</v>
      </c>
      <c r="H508" s="46" t="str">
        <f>HYPERLINK("https://innovativeincomeinvestor.com/security/priority-income-fund-6-00-series-h-term-preferred-stock-due-2026/","PRIF-H")</f>
        <v>PRIF-H</v>
      </c>
      <c r="I508" s="47">
        <v>0.06</v>
      </c>
      <c r="J508" s="79" t="s">
        <v>415</v>
      </c>
      <c r="K508" s="80" t="s">
        <v>415</v>
      </c>
      <c r="L508" s="81" t="s">
        <v>415</v>
      </c>
      <c r="M508" s="108" t="e">
        <f t="shared" ref="M508:M510" si="283">(25-J508)/25</f>
        <v>#VALUE!</v>
      </c>
      <c r="N508" s="28" t="s">
        <v>31</v>
      </c>
      <c r="O508" s="28" t="s">
        <v>32</v>
      </c>
      <c r="P508" s="28" t="s">
        <v>32</v>
      </c>
      <c r="Q508" s="29">
        <v>0.38</v>
      </c>
      <c r="R508" s="64">
        <v>45052</v>
      </c>
      <c r="S508" s="61">
        <v>46387</v>
      </c>
      <c r="T508" s="62" t="s">
        <v>42</v>
      </c>
      <c r="U508" s="16">
        <f ca="1">(S508-TODAY())/365</f>
        <v>1.4767123287671233</v>
      </c>
      <c r="V508" s="11" t="str">
        <v>All</v>
      </c>
      <c r="X508" t="e">
        <f t="shared" ca="1" si="246"/>
        <v>#VALUE!</v>
      </c>
      <c r="Z508" s="17">
        <f t="shared" ca="1" si="247"/>
        <v>46213</v>
      </c>
      <c r="AG508" s="33" t="e">
        <f t="shared" ca="1" si="248"/>
        <v>#VALUE!</v>
      </c>
      <c r="AH508" t="e">
        <f t="shared" ca="1" si="249"/>
        <v>#VALUE!</v>
      </c>
      <c r="AI508" t="e">
        <f t="shared" ca="1" si="250"/>
        <v>#VALUE!</v>
      </c>
      <c r="AJ508" t="e">
        <f t="shared" ca="1" si="251"/>
        <v>#VALUE!</v>
      </c>
      <c r="AK508" t="e">
        <f t="shared" ca="1" si="252"/>
        <v>#VALUE!</v>
      </c>
    </row>
    <row r="509" spans="1:37" ht="17.25" customHeight="1">
      <c r="A509" s="19"/>
      <c r="B509" s="45" t="s">
        <v>414</v>
      </c>
      <c r="C509" s="28" t="s">
        <v>35</v>
      </c>
      <c r="D509" s="28" t="s">
        <v>36</v>
      </c>
      <c r="E509" s="28" t="s">
        <v>176</v>
      </c>
      <c r="F509" s="36" t="s">
        <v>29</v>
      </c>
      <c r="G509" s="28" t="s">
        <v>416</v>
      </c>
      <c r="H509" s="55" t="str">
        <f>HYPERLINK("https://innovativeincomeinvestor.com/security/priority-income-fund-6-125-series-i-term-preferred-stock-due-2028/","PRIF-I")</f>
        <v>PRIF-I</v>
      </c>
      <c r="I509" s="47">
        <v>6.1249999999999999E-2</v>
      </c>
      <c r="J509" s="26">
        <f ca="1">IFERROR(__xludf.DUMMYFUNCTION("GOOGLEFINANCE(H509)"),25.02)</f>
        <v>25.02</v>
      </c>
      <c r="K509" s="26">
        <f ca="1">IFERROR(__xludf.DUMMYFUNCTION("GOOGLEFINANCE(H509,""change"")"),0.01)</f>
        <v>0.01</v>
      </c>
      <c r="L509" s="27">
        <f t="shared" ref="L509:L511" ca="1" si="284">Q509*4/J509</f>
        <v>6.0751398880895285E-2</v>
      </c>
      <c r="M509" s="27">
        <f t="shared" ca="1" si="283"/>
        <v>-7.9999999999998291E-4</v>
      </c>
      <c r="N509" s="28" t="s">
        <v>31</v>
      </c>
      <c r="O509" s="28" t="s">
        <v>32</v>
      </c>
      <c r="P509" s="28" t="s">
        <v>32</v>
      </c>
      <c r="Q509" s="65">
        <v>0.38</v>
      </c>
      <c r="R509" s="64">
        <v>45460</v>
      </c>
      <c r="S509" s="64">
        <v>46934</v>
      </c>
      <c r="T509" s="62" t="s">
        <v>42</v>
      </c>
      <c r="U509" s="16">
        <f t="shared" ref="U509:U565" ca="1" si="285">(R509-TODAY())/365</f>
        <v>-1.0630136986301371</v>
      </c>
      <c r="V509" s="11" t="str">
        <v>All</v>
      </c>
      <c r="X509">
        <f t="shared" ca="1" si="246"/>
        <v>6.0419563760149578E-2</v>
      </c>
      <c r="Z509" s="17">
        <f t="shared" ca="1" si="247"/>
        <v>46213</v>
      </c>
      <c r="AG509" s="33">
        <f t="shared" ca="1" si="248"/>
        <v>6.0822148261884881E-2</v>
      </c>
      <c r="AH509">
        <f t="shared" ca="1" si="249"/>
        <v>6.1062739064769611E-2</v>
      </c>
      <c r="AI509">
        <f t="shared" ca="1" si="250"/>
        <v>6.1108141096792683E-2</v>
      </c>
      <c r="AJ509">
        <f t="shared" ca="1" si="251"/>
        <v>6.1142092963188531E-2</v>
      </c>
      <c r="AK509">
        <f t="shared" ca="1" si="252"/>
        <v>6.1179833296186592E-2</v>
      </c>
    </row>
    <row r="510" spans="1:37" ht="17.25" customHeight="1">
      <c r="A510" s="19"/>
      <c r="B510" s="45" t="s">
        <v>414</v>
      </c>
      <c r="C510" s="28" t="s">
        <v>35</v>
      </c>
      <c r="D510" s="28" t="s">
        <v>36</v>
      </c>
      <c r="E510" s="28" t="s">
        <v>176</v>
      </c>
      <c r="F510" s="36" t="s">
        <v>29</v>
      </c>
      <c r="G510" s="28" t="s">
        <v>177</v>
      </c>
      <c r="H510" s="55" t="str">
        <f>HYPERLINK("https://innovativeincomeinvestor.com/security/priority-income-fund-6-00-series-j-term-preferred-stock-due-2028/","PRIF-J")</f>
        <v>PRIF-J</v>
      </c>
      <c r="I510" s="47">
        <v>0.06</v>
      </c>
      <c r="J510" s="226">
        <v>22.3</v>
      </c>
      <c r="K510" s="26">
        <f ca="1">IFERROR(__xludf.DUMMYFUNCTION("GOOGLEFINANCE(H510,""change"")"),0)</f>
        <v>0</v>
      </c>
      <c r="L510" s="27">
        <f t="shared" si="284"/>
        <v>6.8161434977578469E-2</v>
      </c>
      <c r="M510" s="27">
        <f t="shared" si="283"/>
        <v>0.10799999999999997</v>
      </c>
      <c r="N510" s="28" t="s">
        <v>31</v>
      </c>
      <c r="O510" s="28" t="s">
        <v>32</v>
      </c>
      <c r="P510" s="28" t="s">
        <v>32</v>
      </c>
      <c r="Q510" s="65">
        <v>0.38</v>
      </c>
      <c r="R510" s="64">
        <v>45514</v>
      </c>
      <c r="S510" s="64">
        <v>47118</v>
      </c>
      <c r="T510" s="62" t="s">
        <v>42</v>
      </c>
      <c r="U510" s="16">
        <f t="shared" ca="1" si="285"/>
        <v>-0.91506849315068495</v>
      </c>
      <c r="V510" s="11" t="str">
        <v>All</v>
      </c>
      <c r="X510">
        <f t="shared" ca="1" si="246"/>
        <v>0.18044887425473102</v>
      </c>
      <c r="Z510" s="17">
        <f t="shared" ca="1" si="247"/>
        <v>46213</v>
      </c>
      <c r="AG510" s="33">
        <f t="shared" ca="1" si="248"/>
        <v>0.12164817471525957</v>
      </c>
      <c r="AH510">
        <f t="shared" ca="1" si="249"/>
        <v>8.6871202712608661E-2</v>
      </c>
      <c r="AI510">
        <f t="shared" ca="1" si="250"/>
        <v>8.0332885445137558E-2</v>
      </c>
      <c r="AJ510">
        <f t="shared" ca="1" si="251"/>
        <v>7.5486603678031367E-2</v>
      </c>
      <c r="AK510">
        <f t="shared" ca="1" si="252"/>
        <v>7.0083777074133449E-2</v>
      </c>
    </row>
    <row r="511" spans="1:37" ht="17.25" customHeight="1">
      <c r="A511" s="19"/>
      <c r="B511" s="45" t="s">
        <v>414</v>
      </c>
      <c r="C511" s="36" t="s">
        <v>35</v>
      </c>
      <c r="D511" s="36" t="s">
        <v>36</v>
      </c>
      <c r="E511" s="28" t="s">
        <v>176</v>
      </c>
      <c r="F511" s="36" t="s">
        <v>29</v>
      </c>
      <c r="G511" s="28" t="s">
        <v>177</v>
      </c>
      <c r="H511" s="83" t="str">
        <f>HYPERLINK("https://innovativeincomeinvestor.com/security/priority-income-fund-6-375-series-l-term-preferred-stock-due-2029/","PRIF-L")</f>
        <v>PRIF-L</v>
      </c>
      <c r="I511" s="47">
        <v>6.3750000000000001E-2</v>
      </c>
      <c r="J511" s="128">
        <f ca="1">IFERROR(__xludf.DUMMYFUNCTION("GOOGLEFINANCE(H511)"),23.93)</f>
        <v>23.93</v>
      </c>
      <c r="K511" s="26">
        <f ca="1">IFERROR(__xludf.DUMMYFUNCTION("GOOGLEFINANCE(H511,""change"")"),-0.17)</f>
        <v>-0.17</v>
      </c>
      <c r="L511" s="27">
        <f t="shared" ca="1" si="284"/>
        <v>6.6861679899707482E-2</v>
      </c>
      <c r="M511" s="27">
        <f t="shared" ref="M511:M512" ca="1" si="286">L511*U511+(25-J511)/25/U511</f>
        <v>-0.14044818094717748</v>
      </c>
      <c r="N511" s="28" t="s">
        <v>31</v>
      </c>
      <c r="O511" s="28" t="s">
        <v>32</v>
      </c>
      <c r="P511" s="28" t="s">
        <v>32</v>
      </c>
      <c r="Q511" s="29">
        <v>0.4</v>
      </c>
      <c r="R511" s="64">
        <v>45713</v>
      </c>
      <c r="S511" s="61">
        <v>47208</v>
      </c>
      <c r="T511" s="62" t="s">
        <v>42</v>
      </c>
      <c r="U511" s="16">
        <f t="shared" ca="1" si="285"/>
        <v>-0.36986301369863012</v>
      </c>
      <c r="V511" s="11" t="str">
        <v>All</v>
      </c>
      <c r="X511">
        <f t="shared" ca="1" si="246"/>
        <v>0.10951919758282441</v>
      </c>
      <c r="Z511" s="17">
        <f t="shared" ca="1" si="247"/>
        <v>46213</v>
      </c>
      <c r="AG511" s="33">
        <f t="shared" ca="1" si="248"/>
        <v>8.7304781784840232E-2</v>
      </c>
      <c r="AH511">
        <f t="shared" ca="1" si="249"/>
        <v>7.4075334823813122E-2</v>
      </c>
      <c r="AI511">
        <f t="shared" ca="1" si="250"/>
        <v>7.1581186366927799E-2</v>
      </c>
      <c r="AJ511">
        <f t="shared" ca="1" si="251"/>
        <v>6.9731934107962773E-2</v>
      </c>
      <c r="AK511">
        <f t="shared" ca="1" si="252"/>
        <v>6.7671481448122156E-2</v>
      </c>
    </row>
    <row r="512" spans="1:37" ht="17.25" customHeight="1">
      <c r="A512" s="19"/>
      <c r="B512" s="45" t="s">
        <v>417</v>
      </c>
      <c r="C512" s="36" t="s">
        <v>35</v>
      </c>
      <c r="D512" s="36" t="s">
        <v>27</v>
      </c>
      <c r="E512" s="28" t="s">
        <v>171</v>
      </c>
      <c r="F512" s="36" t="s">
        <v>29</v>
      </c>
      <c r="G512" s="28" t="s">
        <v>38</v>
      </c>
      <c r="H512" s="55" t="str">
        <f>HYPERLINK("https://innovativeincomeinvestor.com/security/prospect-capital-corporation-5-35-series-a-fixed-rate-cumulative-perpetual-preferred-stock/","PSEC-A")</f>
        <v>PSEC-A</v>
      </c>
      <c r="I512" s="47">
        <v>5.3499999999999999E-2</v>
      </c>
      <c r="J512" s="26">
        <f ca="1">IFERROR(__xludf.DUMMYFUNCTION("GOOGLEFINANCE(H512)"),17.04)</f>
        <v>17.04</v>
      </c>
      <c r="K512" s="26">
        <f ca="1">IFERROR(__xludf.DUMMYFUNCTION("GOOGLEFINANCE(H512,""change"")"),0.31)</f>
        <v>0.31</v>
      </c>
      <c r="L512" s="27">
        <f t="shared" ref="L512:L531" ca="1" si="287">(Q512*4)/J512</f>
        <v>7.7464788732394374E-2</v>
      </c>
      <c r="M512" s="27">
        <f t="shared" ca="1" si="286"/>
        <v>0.39011284732790563</v>
      </c>
      <c r="N512" s="28" t="s">
        <v>31</v>
      </c>
      <c r="O512" s="28" t="s">
        <v>30</v>
      </c>
      <c r="P512" s="28" t="s">
        <v>146</v>
      </c>
      <c r="Q512" s="29">
        <v>0.33</v>
      </c>
      <c r="R512" s="64">
        <v>46222</v>
      </c>
      <c r="S512" s="36" t="s">
        <v>41</v>
      </c>
      <c r="T512" s="62" t="s">
        <v>101</v>
      </c>
      <c r="U512" s="16">
        <f t="shared" ca="1" si="285"/>
        <v>1.0246575342465754</v>
      </c>
      <c r="V512" s="11" t="str">
        <v>All</v>
      </c>
      <c r="X512">
        <f t="shared" ca="1" si="246"/>
        <v>0.47077888542475815</v>
      </c>
      <c r="Z512" s="17">
        <f t="shared" ca="1" si="247"/>
        <v>46213</v>
      </c>
      <c r="AG512" s="33">
        <f t="shared" ca="1" si="248"/>
        <v>0.26336156892950269</v>
      </c>
      <c r="AH512">
        <f t="shared" ca="1" si="249"/>
        <v>0.14394783728703103</v>
      </c>
      <c r="AI512">
        <f t="shared" ca="1" si="250"/>
        <v>0.12177713810983107</v>
      </c>
      <c r="AJ512">
        <f t="shared" ca="1" si="251"/>
        <v>0.10541458810075761</v>
      </c>
      <c r="AK512">
        <f t="shared" ca="1" si="252"/>
        <v>8.7318942754339379E-2</v>
      </c>
    </row>
    <row r="513" spans="1:37" ht="17.25" customHeight="1">
      <c r="A513" s="19"/>
      <c r="B513" s="45" t="s">
        <v>418</v>
      </c>
      <c r="C513" s="36" t="s">
        <v>27</v>
      </c>
      <c r="D513" s="36" t="s">
        <v>27</v>
      </c>
      <c r="E513" s="28" t="s">
        <v>28</v>
      </c>
      <c r="F513" s="36" t="s">
        <v>29</v>
      </c>
      <c r="G513" s="28" t="s">
        <v>30</v>
      </c>
      <c r="H513" s="51" t="str">
        <f>HYPERLINK("https://innovativeincomeinvestor.com/security/prudential-financial-inc-5-625-junior-subordinated-notes-due-2058/","PRS")</f>
        <v>PRS</v>
      </c>
      <c r="I513" s="47">
        <v>5.6250000000000001E-2</v>
      </c>
      <c r="J513" s="150">
        <f ca="1">IFERROR(__xludf.DUMMYFUNCTION("importxml(""https://bigcharts.marketwatch.com/quickchart/quickchart.asp?symb=PRS&amp;insttype=Stock"",""/html/body/div[1]/div[2]/table/tbody/tr/td[1]/table/tbody/tr[3]/td[1]/div"")"),23.94)</f>
        <v>23.94</v>
      </c>
      <c r="K513" s="67">
        <f ca="1">IFERROR(__xludf.DUMMYFUNCTION("googlefinance(H513,""change"")"),-0.01)</f>
        <v>-0.01</v>
      </c>
      <c r="L513" s="27">
        <f t="shared" ca="1" si="287"/>
        <v>5.8740601503759399E-2</v>
      </c>
      <c r="M513" s="27">
        <f ca="1">(25-J513)/25</f>
        <v>4.2399999999999952E-2</v>
      </c>
      <c r="N513" s="28" t="s">
        <v>39</v>
      </c>
      <c r="O513" s="28" t="s">
        <v>311</v>
      </c>
      <c r="P513" s="28" t="s">
        <v>51</v>
      </c>
      <c r="Q513" s="29">
        <f>(I513*25)/4</f>
        <v>0.3515625</v>
      </c>
      <c r="R513" s="64">
        <v>45153</v>
      </c>
      <c r="S513" s="61">
        <v>57937</v>
      </c>
      <c r="T513" s="62" t="s">
        <v>33</v>
      </c>
      <c r="U513" s="16">
        <f t="shared" ca="1" si="285"/>
        <v>-1.904109589041096</v>
      </c>
      <c r="V513" s="11" t="str">
        <v>All</v>
      </c>
      <c r="X513">
        <f t="shared" ca="1" si="246"/>
        <v>0.10136991130612449</v>
      </c>
      <c r="Z513" s="17">
        <f t="shared" ca="1" si="247"/>
        <v>46213</v>
      </c>
      <c r="AG513" s="33">
        <f t="shared" ca="1" si="248"/>
        <v>7.9386766958632143E-2</v>
      </c>
      <c r="AH513">
        <f t="shared" ca="1" si="249"/>
        <v>6.6286609066452562E-2</v>
      </c>
      <c r="AI513">
        <f t="shared" ca="1" si="250"/>
        <v>6.3812080245539887E-2</v>
      </c>
      <c r="AJ513">
        <f t="shared" ca="1" si="251"/>
        <v>6.1972379717065693E-2</v>
      </c>
      <c r="AK513">
        <f t="shared" ca="1" si="252"/>
        <v>5.9902574472096647E-2</v>
      </c>
    </row>
    <row r="514" spans="1:37" ht="17.25" customHeight="1">
      <c r="A514" s="19"/>
      <c r="B514" s="45" t="s">
        <v>418</v>
      </c>
      <c r="C514" s="36" t="s">
        <v>27</v>
      </c>
      <c r="D514" s="36" t="s">
        <v>27</v>
      </c>
      <c r="E514" s="28" t="s">
        <v>28</v>
      </c>
      <c r="F514" s="36" t="s">
        <v>29</v>
      </c>
      <c r="G514" s="28" t="s">
        <v>30</v>
      </c>
      <c r="H514" s="51" t="str">
        <f>HYPERLINK("https://innovativeincomeinvestor.com/security/prudential-financial-inc-5-625-junior-subordinated-notes-due-2058/","PFH")</f>
        <v>PFH</v>
      </c>
      <c r="I514" s="47">
        <v>4.1250000000000002E-2</v>
      </c>
      <c r="J514" s="56">
        <f ca="1">IFERROR(__xludf.DUMMYFUNCTION("importxml(""https://bigcharts.marketwatch.com/quickchart/quickchart.asp?symb=PFH&amp;insttype=Stock"",""/html/body/div[1]/div[2]/table/tbody/tr/td[1]/table/tbody/tr[3]/td[1]/div"")"),17.51)</f>
        <v>17.510000000000002</v>
      </c>
      <c r="K514" s="67">
        <f ca="1">IFERROR(__xludf.DUMMYFUNCTION("googlefinance(H514,""change"")"),0)</f>
        <v>0</v>
      </c>
      <c r="L514" s="27">
        <f t="shared" ca="1" si="287"/>
        <v>5.8937749857224442E-2</v>
      </c>
      <c r="M514" s="27">
        <f t="array" aca="1" ref="M514" ca="1">L514*U514+(25-J514)/25/U514</f>
        <v>2.0718411030937678</v>
      </c>
      <c r="N514" s="28" t="s">
        <v>39</v>
      </c>
      <c r="O514" s="28" t="s">
        <v>311</v>
      </c>
      <c r="P514" s="28" t="s">
        <v>51</v>
      </c>
      <c r="Q514" s="29">
        <v>0.25800000000000001</v>
      </c>
      <c r="R514" s="64">
        <v>45901</v>
      </c>
      <c r="S514" s="61">
        <v>58685</v>
      </c>
      <c r="T514" s="62" t="s">
        <v>81</v>
      </c>
      <c r="U514" s="16">
        <f t="shared" ca="1" si="285"/>
        <v>0.14520547945205478</v>
      </c>
      <c r="V514" s="11" t="str">
        <v>All</v>
      </c>
      <c r="X514">
        <f t="shared" ca="1" si="246"/>
        <v>0.42429204251672747</v>
      </c>
      <c r="Z514" s="17">
        <f t="shared" ca="1" si="247"/>
        <v>46213</v>
      </c>
      <c r="AG514" s="33">
        <f t="shared" ca="1" si="248"/>
        <v>0.23287774008197071</v>
      </c>
      <c r="AH514">
        <f t="shared" ca="1" si="249"/>
        <v>0.12225387630855444</v>
      </c>
      <c r="AI514">
        <f t="shared" ca="1" si="250"/>
        <v>0.10161293120589605</v>
      </c>
      <c r="AJ514">
        <f t="shared" ca="1" si="251"/>
        <v>8.6291263379112512E-2</v>
      </c>
      <c r="AK514">
        <f t="shared" ca="1" si="252"/>
        <v>6.8987575888517547E-2</v>
      </c>
    </row>
    <row r="515" spans="1:37" ht="17.25" customHeight="1">
      <c r="A515" s="19"/>
      <c r="B515" s="45" t="s">
        <v>419</v>
      </c>
      <c r="C515" s="28" t="s">
        <v>35</v>
      </c>
      <c r="D515" s="36" t="s">
        <v>27</v>
      </c>
      <c r="E515" s="28" t="s">
        <v>63</v>
      </c>
      <c r="F515" s="36" t="s">
        <v>29</v>
      </c>
      <c r="G515" s="28" t="s">
        <v>38</v>
      </c>
      <c r="H515" s="51" t="str">
        <f>HYPERLINK("https://innovativeincomeinvestor.com/security/ps-business-parks-5-25-cumulative-preferred-stocks-series-x/","PSBXP")</f>
        <v>PSBXP</v>
      </c>
      <c r="I515" s="47">
        <v>5.2499999999999998E-2</v>
      </c>
      <c r="J515" s="25">
        <f ca="1">IFERROR(__xludf.DUMMYFUNCTION("GoogleFinance(H515)"),11.5)</f>
        <v>11.5</v>
      </c>
      <c r="K515" s="48">
        <f ca="1">IFERROR(__xludf.DUMMYFUNCTION("googlefinance(H515,""change"")"),0)</f>
        <v>0</v>
      </c>
      <c r="L515" s="27">
        <f t="shared" ca="1" si="287"/>
        <v>0.11413043478260869</v>
      </c>
      <c r="M515" s="27">
        <f t="shared" ref="M515:M518" ca="1" si="288">(25-J515)/25</f>
        <v>0.54</v>
      </c>
      <c r="N515" s="28" t="s">
        <v>31</v>
      </c>
      <c r="O515" s="28" t="s">
        <v>32</v>
      </c>
      <c r="P515" s="28" t="s">
        <v>420</v>
      </c>
      <c r="Q515" s="29">
        <f t="shared" ref="Q515:Q520" si="289">(I515*25)/4</f>
        <v>0.328125</v>
      </c>
      <c r="R515" s="64">
        <v>44825</v>
      </c>
      <c r="S515" s="54" t="s">
        <v>41</v>
      </c>
      <c r="T515" s="62" t="s">
        <v>42</v>
      </c>
      <c r="U515" s="16">
        <f t="shared" ca="1" si="285"/>
        <v>-2.8027397260273972</v>
      </c>
      <c r="V515" s="11" t="str">
        <v>All</v>
      </c>
      <c r="X515">
        <f t="shared" ref="X515:X578" ca="1" si="290">YIELD($W$1,Z515,I515,J515*4,100,4,0)</f>
        <v>0.94472206507248035</v>
      </c>
      <c r="Z515" s="17">
        <f t="shared" ref="Z515:Z578" ca="1" si="291">TODAY()+($Z$1*$Y$1)</f>
        <v>46213</v>
      </c>
      <c r="AG515" s="33">
        <f t="shared" ref="AG515:AG578" ca="1" si="292">YIELD($W$1,$AA$2,I515,J515*4,100,4,0)</f>
        <v>0.49180858725711424</v>
      </c>
      <c r="AH515">
        <f t="shared" ref="AH515:AH578" ca="1" si="293">YIELD($W$1,$AB$2,I515,J515*4,100,4,0)</f>
        <v>0.241412666687426</v>
      </c>
      <c r="AI515">
        <f t="shared" ref="AI515:AI578" ca="1" si="294">YIELD($W$1,$AC$2,I515,J515*4,100,4,0)</f>
        <v>0.19594286152375481</v>
      </c>
      <c r="AJ515">
        <f t="shared" ref="AJ515:AJ578" ca="1" si="295">YIELD($W$1,$AD$2,I515,J515*4,100,4,0)</f>
        <v>0.16278964692901962</v>
      </c>
      <c r="AK515">
        <f t="shared" ref="AK515:AK578" ca="1" si="296">YIELD($W$1,$AE$2,I515,J515*4,100,4,0)</f>
        <v>0.12740568634529259</v>
      </c>
    </row>
    <row r="516" spans="1:37" ht="17.25" customHeight="1">
      <c r="A516" s="19"/>
      <c r="B516" s="45" t="s">
        <v>419</v>
      </c>
      <c r="C516" s="28" t="s">
        <v>35</v>
      </c>
      <c r="D516" s="36" t="s">
        <v>27</v>
      </c>
      <c r="E516" s="28" t="s">
        <v>63</v>
      </c>
      <c r="F516" s="36" t="s">
        <v>29</v>
      </c>
      <c r="G516" s="28" t="s">
        <v>38</v>
      </c>
      <c r="H516" s="51" t="str">
        <f>HYPERLINK("https://innovativeincomeinvestor.com/security/ps-business-parks-inc-5-20-cumulative-preferred-stock-series-y/","PSBYP")</f>
        <v>PSBYP</v>
      </c>
      <c r="I516" s="47">
        <v>5.1999999999999998E-2</v>
      </c>
      <c r="J516" s="65">
        <v>11</v>
      </c>
      <c r="K516" s="48">
        <f ca="1">IFERROR(__xludf.DUMMYFUNCTION("googlefinance(H516,""change"")"),0)</f>
        <v>0</v>
      </c>
      <c r="L516" s="27">
        <f t="shared" si="287"/>
        <v>0.11818181818181818</v>
      </c>
      <c r="M516" s="27">
        <f t="shared" si="288"/>
        <v>0.56000000000000005</v>
      </c>
      <c r="N516" s="28" t="s">
        <v>31</v>
      </c>
      <c r="O516" s="28" t="s">
        <v>32</v>
      </c>
      <c r="P516" s="28" t="s">
        <v>420</v>
      </c>
      <c r="Q516" s="29">
        <f t="shared" si="289"/>
        <v>0.32500000000000001</v>
      </c>
      <c r="R516" s="64">
        <v>44902</v>
      </c>
      <c r="S516" s="54" t="s">
        <v>41</v>
      </c>
      <c r="T516" s="62" t="s">
        <v>42</v>
      </c>
      <c r="U516" s="16">
        <f t="shared" ca="1" si="285"/>
        <v>-2.591780821917808</v>
      </c>
      <c r="V516" s="11" t="str">
        <v>All</v>
      </c>
      <c r="X516">
        <f t="shared" ca="1" si="290"/>
        <v>1.0008816137108025</v>
      </c>
      <c r="Z516" s="17">
        <f t="shared" ca="1" si="291"/>
        <v>46213</v>
      </c>
      <c r="AG516" s="33">
        <f t="shared" ca="1" si="292"/>
        <v>0.517979224376652</v>
      </c>
      <c r="AH516">
        <f t="shared" ca="1" si="293"/>
        <v>0.25221954897004323</v>
      </c>
      <c r="AI516">
        <f t="shared" ca="1" si="294"/>
        <v>0.2040784088158934</v>
      </c>
      <c r="AJ516">
        <f t="shared" ca="1" si="295"/>
        <v>0.16902425593011086</v>
      </c>
      <c r="AK516">
        <f t="shared" ca="1" si="296"/>
        <v>0.13176457496930499</v>
      </c>
    </row>
    <row r="517" spans="1:37" ht="17.25" customHeight="1">
      <c r="A517" s="19"/>
      <c r="B517" s="45" t="s">
        <v>419</v>
      </c>
      <c r="C517" s="28" t="s">
        <v>35</v>
      </c>
      <c r="D517" s="36" t="s">
        <v>27</v>
      </c>
      <c r="E517" s="36" t="s">
        <v>63</v>
      </c>
      <c r="F517" s="36" t="s">
        <v>29</v>
      </c>
      <c r="G517" s="28" t="s">
        <v>38</v>
      </c>
      <c r="H517" s="23" t="str">
        <f>HYPERLINK("https://innovativeincomeinvestor.com/security/ps-business-parks-4-875-cumulative-preferred-stock-series-z/","PSBZP")</f>
        <v>PSBZP</v>
      </c>
      <c r="I517" s="85">
        <v>4.8750000000000002E-2</v>
      </c>
      <c r="J517" s="150">
        <f ca="1">IFERROR(__xludf.DUMMYFUNCTION("importxml(""https://bigcharts.marketwatch.com/quickchart/quickchart.asp?symb=PSBZP&amp;insttype=Stock"",""/html/body/div[1]/div[2]/table/tbody/tr/td[1]/table/tbody/tr[3]/td[1]/div"")"),11.25)</f>
        <v>11.25</v>
      </c>
      <c r="K517" s="48">
        <f ca="1">IFERROR(__xludf.DUMMYFUNCTION("googlefinance(H517,""change"")"),0.02)</f>
        <v>0.02</v>
      </c>
      <c r="L517" s="27">
        <f t="shared" ca="1" si="287"/>
        <v>0.10833333333333334</v>
      </c>
      <c r="M517" s="27">
        <f t="shared" ca="1" si="288"/>
        <v>0.55000000000000004</v>
      </c>
      <c r="N517" s="28" t="s">
        <v>31</v>
      </c>
      <c r="O517" s="28" t="s">
        <v>32</v>
      </c>
      <c r="P517" s="28" t="s">
        <v>420</v>
      </c>
      <c r="Q517" s="29">
        <f t="shared" si="289"/>
        <v>0.3046875</v>
      </c>
      <c r="R517" s="64">
        <v>45600</v>
      </c>
      <c r="S517" s="54" t="s">
        <v>41</v>
      </c>
      <c r="T517" s="62" t="s">
        <v>42</v>
      </c>
      <c r="U517" s="16">
        <f t="shared" ca="1" si="285"/>
        <v>-0.67945205479452053</v>
      </c>
      <c r="V517" s="11" t="str">
        <v>All</v>
      </c>
      <c r="X517">
        <f t="shared" ca="1" si="290"/>
        <v>0.96644366502315737</v>
      </c>
      <c r="Z517" s="17">
        <f t="shared" ca="1" si="291"/>
        <v>46213</v>
      </c>
      <c r="AG517" s="33">
        <f t="shared" ca="1" si="292"/>
        <v>0.49898568154553125</v>
      </c>
      <c r="AH517">
        <f t="shared" ca="1" si="293"/>
        <v>0.2410006228468857</v>
      </c>
      <c r="AI517">
        <f t="shared" ca="1" si="294"/>
        <v>0.19412445190996391</v>
      </c>
      <c r="AJ517">
        <f t="shared" ca="1" si="295"/>
        <v>0.15987408165987163</v>
      </c>
      <c r="AK517">
        <f t="shared" ca="1" si="296"/>
        <v>0.12298564172683286</v>
      </c>
    </row>
    <row r="518" spans="1:37" ht="17.25" customHeight="1">
      <c r="A518" s="19"/>
      <c r="B518" s="45" t="s">
        <v>421</v>
      </c>
      <c r="C518" s="28" t="s">
        <v>35</v>
      </c>
      <c r="D518" s="36" t="s">
        <v>27</v>
      </c>
      <c r="E518" s="36" t="s">
        <v>63</v>
      </c>
      <c r="F518" s="36" t="s">
        <v>29</v>
      </c>
      <c r="G518" s="28" t="s">
        <v>38</v>
      </c>
      <c r="H518" s="94" t="str">
        <f>HYPERLINK("https://innovativeincomeinvestor.com/security/public-storage-5-15/","PSA-F")</f>
        <v>PSA-F</v>
      </c>
      <c r="I518" s="85">
        <v>5.1499999999999997E-2</v>
      </c>
      <c r="J518" s="125">
        <f ca="1">IFERROR(__xludf.DUMMYFUNCTION("GoogleFinance(H518)"),20.81)</f>
        <v>20.81</v>
      </c>
      <c r="K518" s="48">
        <f ca="1">IFERROR(__xludf.DUMMYFUNCTION("googlefinance(H518,""change"")"),-0.06)</f>
        <v>-0.06</v>
      </c>
      <c r="L518" s="27">
        <f t="shared" ca="1" si="287"/>
        <v>6.1869293608841899E-2</v>
      </c>
      <c r="M518" s="27">
        <f t="shared" ca="1" si="288"/>
        <v>0.16760000000000005</v>
      </c>
      <c r="N518" s="28" t="s">
        <v>39</v>
      </c>
      <c r="O518" s="28" t="s">
        <v>311</v>
      </c>
      <c r="P518" s="28" t="s">
        <v>92</v>
      </c>
      <c r="Q518" s="29">
        <f t="shared" si="289"/>
        <v>0.32187499999999997</v>
      </c>
      <c r="R518" s="64">
        <v>44714</v>
      </c>
      <c r="S518" s="54" t="s">
        <v>41</v>
      </c>
      <c r="T518" s="62" t="s">
        <v>42</v>
      </c>
      <c r="U518" s="16">
        <f t="shared" ca="1" si="285"/>
        <v>-3.106849315068493</v>
      </c>
      <c r="V518" s="11" t="str">
        <v>All</v>
      </c>
      <c r="X518">
        <f t="shared" ca="1" si="290"/>
        <v>0.24559138284476481</v>
      </c>
      <c r="Z518" s="17">
        <f t="shared" ca="1" si="291"/>
        <v>46213</v>
      </c>
      <c r="AG518" s="33">
        <f t="shared" ca="1" si="292"/>
        <v>0.15005315855951235</v>
      </c>
      <c r="AH518">
        <f t="shared" ca="1" si="293"/>
        <v>9.3905879715790758E-2</v>
      </c>
      <c r="AI518">
        <f t="shared" ca="1" si="294"/>
        <v>8.3364317765082879E-2</v>
      </c>
      <c r="AJ518">
        <f t="shared" ca="1" si="295"/>
        <v>7.5538760161037583E-2</v>
      </c>
      <c r="AK518">
        <f t="shared" ca="1" si="296"/>
        <v>6.6747333831425212E-2</v>
      </c>
    </row>
    <row r="519" spans="1:37" ht="17.25" customHeight="1">
      <c r="A519" s="19"/>
      <c r="B519" s="45" t="s">
        <v>421</v>
      </c>
      <c r="C519" s="28" t="s">
        <v>35</v>
      </c>
      <c r="D519" s="36" t="s">
        <v>27</v>
      </c>
      <c r="E519" s="36" t="s">
        <v>63</v>
      </c>
      <c r="F519" s="36" t="s">
        <v>29</v>
      </c>
      <c r="G519" s="28" t="s">
        <v>38</v>
      </c>
      <c r="H519" s="63" t="str">
        <f>HYPERLINK("https://innovativeincomeinvestor.com/security/public-storage-5-60-cumulative-preferred-shares-series-h/","PSA-H")</f>
        <v>PSA-H</v>
      </c>
      <c r="I519" s="85">
        <v>5.6000000000000001E-2</v>
      </c>
      <c r="J519" s="54">
        <f ca="1">IFERROR(__xludf.DUMMYFUNCTION("GoogleFinance(H519)"),22.92)</f>
        <v>22.92</v>
      </c>
      <c r="K519" s="48">
        <f ca="1">IFERROR(__xludf.DUMMYFUNCTION("googlefinance(H519,""change"")"),0.07)</f>
        <v>7.0000000000000007E-2</v>
      </c>
      <c r="L519" s="27">
        <f t="shared" ca="1" si="287"/>
        <v>6.1082024432809773E-2</v>
      </c>
      <c r="M519" s="27">
        <f t="array" aca="1" ref="M519" ca="1">L519*U519+(25-J519)/25/U519</f>
        <v>-0.14381673061013545</v>
      </c>
      <c r="N519" s="28" t="s">
        <v>39</v>
      </c>
      <c r="O519" s="28" t="s">
        <v>311</v>
      </c>
      <c r="P519" s="28" t="s">
        <v>92</v>
      </c>
      <c r="Q519" s="29">
        <f t="shared" si="289"/>
        <v>0.35000000000000003</v>
      </c>
      <c r="R519" s="53">
        <v>45362</v>
      </c>
      <c r="S519" s="54" t="s">
        <v>41</v>
      </c>
      <c r="T519" s="62" t="s">
        <v>42</v>
      </c>
      <c r="U519" s="16">
        <f t="shared" ca="1" si="285"/>
        <v>-1.3315068493150686</v>
      </c>
      <c r="V519" s="11" t="str">
        <v>All</v>
      </c>
      <c r="X519">
        <f t="shared" ca="1" si="290"/>
        <v>0.14698085723083187</v>
      </c>
      <c r="Z519" s="17">
        <f t="shared" ca="1" si="291"/>
        <v>46213</v>
      </c>
      <c r="AG519" s="33">
        <f t="shared" ca="1" si="292"/>
        <v>0.10254051264681649</v>
      </c>
      <c r="AH519">
        <f t="shared" ca="1" si="293"/>
        <v>7.6174472026865864E-2</v>
      </c>
      <c r="AI519">
        <f t="shared" ca="1" si="294"/>
        <v>7.120509034455863E-2</v>
      </c>
      <c r="AJ519">
        <f t="shared" ca="1" si="295"/>
        <v>6.7513810431258925E-2</v>
      </c>
      <c r="AK519">
        <f t="shared" ca="1" si="296"/>
        <v>6.3369533025148611E-2</v>
      </c>
    </row>
    <row r="520" spans="1:37" ht="17.25" customHeight="1">
      <c r="A520" s="19"/>
      <c r="B520" s="45" t="s">
        <v>421</v>
      </c>
      <c r="C520" s="28" t="s">
        <v>35</v>
      </c>
      <c r="D520" s="36" t="s">
        <v>27</v>
      </c>
      <c r="E520" s="36" t="s">
        <v>63</v>
      </c>
      <c r="F520" s="36" t="s">
        <v>29</v>
      </c>
      <c r="G520" s="28" t="s">
        <v>38</v>
      </c>
      <c r="H520" s="94" t="str">
        <f>HYPERLINK("https://innovativeincomeinvestor.com/security/public-storage-5-05-cumulative-preferred-stock-series-g/","PSA-G")</f>
        <v>PSA-G</v>
      </c>
      <c r="I520" s="85">
        <v>5.0500000000000003E-2</v>
      </c>
      <c r="J520" s="54">
        <f ca="1">IFERROR(__xludf.DUMMYFUNCTION("GoogleFinance(H520)"),20.43)</f>
        <v>20.43</v>
      </c>
      <c r="K520" s="48">
        <f ca="1">IFERROR(__xludf.DUMMYFUNCTION("googlefinance(H520,""change"")"),0.05)</f>
        <v>0.05</v>
      </c>
      <c r="L520" s="27">
        <f t="shared" ca="1" si="287"/>
        <v>6.1796377875673041E-2</v>
      </c>
      <c r="M520" s="27">
        <f t="shared" ref="M520:M523" ca="1" si="297">(25-J520)/25</f>
        <v>0.18280000000000002</v>
      </c>
      <c r="N520" s="28" t="s">
        <v>39</v>
      </c>
      <c r="O520" s="28" t="s">
        <v>311</v>
      </c>
      <c r="P520" s="28" t="s">
        <v>92</v>
      </c>
      <c r="Q520" s="29">
        <f t="shared" si="289"/>
        <v>0.31562500000000004</v>
      </c>
      <c r="R520" s="53">
        <v>44782</v>
      </c>
      <c r="S520" s="54" t="s">
        <v>41</v>
      </c>
      <c r="T520" s="62" t="s">
        <v>42</v>
      </c>
      <c r="U520" s="16">
        <f t="shared" ca="1" si="285"/>
        <v>-2.9205479452054797</v>
      </c>
      <c r="V520" s="11" t="str">
        <v>All</v>
      </c>
      <c r="X520">
        <f t="shared" ca="1" si="290"/>
        <v>0.2644834695899228</v>
      </c>
      <c r="Z520" s="17">
        <f t="shared" ca="1" si="291"/>
        <v>46213</v>
      </c>
      <c r="AG520" s="33">
        <f t="shared" ca="1" si="292"/>
        <v>0.15899038861680645</v>
      </c>
      <c r="AH520">
        <f t="shared" ca="1" si="293"/>
        <v>9.7103951368835137E-2</v>
      </c>
      <c r="AI520">
        <f t="shared" ca="1" si="294"/>
        <v>8.5492944797946516E-2</v>
      </c>
      <c r="AJ520">
        <f t="shared" ca="1" si="295"/>
        <v>7.6873971829603455E-2</v>
      </c>
      <c r="AK520">
        <f t="shared" ca="1" si="296"/>
        <v>6.7187705801914951E-2</v>
      </c>
    </row>
    <row r="521" spans="1:37" ht="17.25" customHeight="1">
      <c r="A521" s="19"/>
      <c r="B521" s="45" t="s">
        <v>421</v>
      </c>
      <c r="C521" s="28" t="s">
        <v>35</v>
      </c>
      <c r="D521" s="36" t="s">
        <v>27</v>
      </c>
      <c r="E521" s="36" t="s">
        <v>63</v>
      </c>
      <c r="F521" s="28" t="s">
        <v>29</v>
      </c>
      <c r="G521" s="28" t="s">
        <v>38</v>
      </c>
      <c r="H521" s="83" t="str">
        <f>HYPERLINK("https://innovativeincomeinvestor.com/security/public-storage-4-875-cumulative-preferred-stock-series-i/","PSA-I")</f>
        <v>PSA-I</v>
      </c>
      <c r="I521" s="47">
        <v>4.8750000000000002E-2</v>
      </c>
      <c r="J521" s="65">
        <f ca="1">IFERROR(__xludf.DUMMYFUNCTION("GoogleFinance(H521)"),19.48)</f>
        <v>19.48</v>
      </c>
      <c r="K521" s="48">
        <f ca="1">IFERROR(__xludf.DUMMYFUNCTION("googlefinance(H521,""change"")"),-0.06)</f>
        <v>-0.06</v>
      </c>
      <c r="L521" s="27">
        <f t="shared" ca="1" si="287"/>
        <v>6.2566735112936353E-2</v>
      </c>
      <c r="M521" s="27">
        <f t="shared" ca="1" si="297"/>
        <v>0.2208</v>
      </c>
      <c r="N521" s="28" t="s">
        <v>39</v>
      </c>
      <c r="O521" s="28" t="s">
        <v>311</v>
      </c>
      <c r="P521" s="28" t="s">
        <v>92</v>
      </c>
      <c r="Q521" s="29">
        <v>0.30470000000000003</v>
      </c>
      <c r="R521" s="64">
        <v>45547</v>
      </c>
      <c r="S521" s="28" t="s">
        <v>41</v>
      </c>
      <c r="T521" s="62" t="s">
        <v>42</v>
      </c>
      <c r="U521" s="16">
        <f t="shared" ca="1" si="285"/>
        <v>-0.8246575342465754</v>
      </c>
      <c r="V521" s="11" t="str">
        <v>All</v>
      </c>
      <c r="X521">
        <f t="shared" ca="1" si="290"/>
        <v>0.31460658574238298</v>
      </c>
      <c r="Z521" s="17">
        <f t="shared" ca="1" si="291"/>
        <v>46213</v>
      </c>
      <c r="AG521" s="33">
        <f t="shared" ca="1" si="292"/>
        <v>0.18307212141594462</v>
      </c>
      <c r="AH521">
        <f t="shared" ca="1" si="293"/>
        <v>0.10627099698602199</v>
      </c>
      <c r="AI521">
        <f t="shared" ca="1" si="294"/>
        <v>9.1890515451373278E-2</v>
      </c>
      <c r="AJ521">
        <f t="shared" ca="1" si="295"/>
        <v>8.1220402418939408E-2</v>
      </c>
      <c r="AK521">
        <f t="shared" ca="1" si="296"/>
        <v>6.9230558417677474E-2</v>
      </c>
    </row>
    <row r="522" spans="1:37" ht="17.25" customHeight="1">
      <c r="A522" s="19"/>
      <c r="B522" s="45" t="s">
        <v>421</v>
      </c>
      <c r="C522" s="28" t="s">
        <v>35</v>
      </c>
      <c r="D522" s="36" t="s">
        <v>27</v>
      </c>
      <c r="E522" s="36" t="s">
        <v>63</v>
      </c>
      <c r="F522" s="28" t="s">
        <v>29</v>
      </c>
      <c r="G522" s="28" t="s">
        <v>38</v>
      </c>
      <c r="H522" s="46" t="str">
        <f>HYPERLINK("https://innovativeincomeinvestor.com/security/public-storage-4-70-cumulative-preferred-shares-series-j/","PSA-J")</f>
        <v>PSA-J</v>
      </c>
      <c r="I522" s="47">
        <v>4.7E-2</v>
      </c>
      <c r="J522" s="65">
        <f ca="1">IFERROR(__xludf.DUMMYFUNCTION("GoogleFinance(H522)"),18.76)</f>
        <v>18.760000000000002</v>
      </c>
      <c r="K522" s="48">
        <f ca="1">IFERROR(__xludf.DUMMYFUNCTION("googlefinance(H522,""change"")"),-0.1)</f>
        <v>-0.1</v>
      </c>
      <c r="L522" s="27">
        <f t="shared" ca="1" si="287"/>
        <v>6.4968017057569299E-2</v>
      </c>
      <c r="M522" s="27">
        <f t="shared" ca="1" si="297"/>
        <v>0.24959999999999993</v>
      </c>
      <c r="N522" s="28" t="s">
        <v>39</v>
      </c>
      <c r="O522" s="28" t="s">
        <v>311</v>
      </c>
      <c r="P522" s="28" t="s">
        <v>92</v>
      </c>
      <c r="Q522" s="29">
        <v>0.30470000000000003</v>
      </c>
      <c r="R522" s="64">
        <v>45611</v>
      </c>
      <c r="S522" s="28" t="s">
        <v>41</v>
      </c>
      <c r="T522" s="62" t="s">
        <v>42</v>
      </c>
      <c r="U522" s="16">
        <f t="shared" ca="1" si="285"/>
        <v>-0.64931506849315068</v>
      </c>
      <c r="V522" s="11" t="str">
        <v>All</v>
      </c>
      <c r="X522">
        <f t="shared" ca="1" si="290"/>
        <v>0.35419342789587427</v>
      </c>
      <c r="Z522" s="17">
        <f t="shared" ca="1" si="291"/>
        <v>46213</v>
      </c>
      <c r="AG522" s="33">
        <f t="shared" ca="1" si="292"/>
        <v>0.20174711799070175</v>
      </c>
      <c r="AH522">
        <f t="shared" ca="1" si="293"/>
        <v>0.11306385086016921</v>
      </c>
      <c r="AI522">
        <f t="shared" ca="1" si="294"/>
        <v>9.64830394740782E-2</v>
      </c>
      <c r="AJ522">
        <f t="shared" ca="1" si="295"/>
        <v>8.4182728651819472E-2</v>
      </c>
      <c r="AK522">
        <f t="shared" ca="1" si="296"/>
        <v>7.0354581107612987E-2</v>
      </c>
    </row>
    <row r="523" spans="1:37" ht="17.25" customHeight="1">
      <c r="A523" s="19"/>
      <c r="B523" s="45" t="s">
        <v>421</v>
      </c>
      <c r="C523" s="28" t="s">
        <v>35</v>
      </c>
      <c r="D523" s="36" t="s">
        <v>27</v>
      </c>
      <c r="E523" s="36" t="s">
        <v>63</v>
      </c>
      <c r="F523" s="36" t="s">
        <v>29</v>
      </c>
      <c r="G523" s="28" t="s">
        <v>38</v>
      </c>
      <c r="H523" s="83" t="str">
        <f>HYPERLINK("https://innovativeincomeinvestor.com/security/public-storage-4-75-cumulative-preferred-stock-series-k/","PSA-K")</f>
        <v>PSA-K</v>
      </c>
      <c r="I523" s="85">
        <v>4.7500000000000001E-2</v>
      </c>
      <c r="J523" s="65">
        <f ca="1">IFERROR(__xludf.DUMMYFUNCTION("GoogleFinance(H523)"),19.11)</f>
        <v>19.11</v>
      </c>
      <c r="K523" s="48">
        <f ca="1">IFERROR(__xludf.DUMMYFUNCTION("googlefinance(H523,""change"")"),-0.07)</f>
        <v>-7.0000000000000007E-2</v>
      </c>
      <c r="L523" s="27">
        <f t="shared" ca="1" si="287"/>
        <v>6.3778126635269494E-2</v>
      </c>
      <c r="M523" s="27">
        <f t="shared" ca="1" si="297"/>
        <v>0.23560000000000003</v>
      </c>
      <c r="N523" s="28" t="s">
        <v>39</v>
      </c>
      <c r="O523" s="28" t="s">
        <v>311</v>
      </c>
      <c r="P523" s="28" t="s">
        <v>92</v>
      </c>
      <c r="Q523" s="29">
        <v>0.30470000000000003</v>
      </c>
      <c r="R523" s="64">
        <v>45646</v>
      </c>
      <c r="S523" s="28" t="s">
        <v>41</v>
      </c>
      <c r="T523" s="62" t="s">
        <v>42</v>
      </c>
      <c r="U523" s="16">
        <f t="shared" ca="1" si="285"/>
        <v>-0.55342465753424652</v>
      </c>
      <c r="V523" s="11" t="str">
        <v>All</v>
      </c>
      <c r="X523">
        <f t="shared" ca="1" si="290"/>
        <v>0.33429720133984908</v>
      </c>
      <c r="Z523" s="17">
        <f t="shared" ca="1" si="291"/>
        <v>46213</v>
      </c>
      <c r="AG523" s="33">
        <f t="shared" ca="1" si="292"/>
        <v>0.19215619227963163</v>
      </c>
      <c r="AH523">
        <f t="shared" ca="1" si="293"/>
        <v>0.10931557296235866</v>
      </c>
      <c r="AI523">
        <f t="shared" ca="1" si="294"/>
        <v>9.3814477577570971E-2</v>
      </c>
      <c r="AJ523">
        <f t="shared" ca="1" si="295"/>
        <v>8.2312521413127435E-2</v>
      </c>
      <c r="AK523">
        <f t="shared" ca="1" si="296"/>
        <v>6.9378519171920061E-2</v>
      </c>
    </row>
    <row r="524" spans="1:37" ht="17.25" customHeight="1">
      <c r="A524" s="19"/>
      <c r="B524" s="45" t="s">
        <v>421</v>
      </c>
      <c r="C524" s="28" t="s">
        <v>35</v>
      </c>
      <c r="D524" s="36" t="s">
        <v>27</v>
      </c>
      <c r="E524" s="36" t="s">
        <v>63</v>
      </c>
      <c r="F524" s="36" t="s">
        <v>29</v>
      </c>
      <c r="G524" s="28" t="s">
        <v>38</v>
      </c>
      <c r="H524" s="83" t="str">
        <f>HYPERLINK("https://innovativeincomeinvestor.com/security/public-storage-4-625-cumulative-preferred-stock-series-i/","PSA-L")</f>
        <v>PSA-L</v>
      </c>
      <c r="I524" s="85">
        <v>4.6249999999999999E-2</v>
      </c>
      <c r="J524" s="65">
        <f ca="1">IFERROR(__xludf.DUMMYFUNCTION("GoogleFinance(H524)"),18.55)</f>
        <v>18.55</v>
      </c>
      <c r="K524" s="48">
        <f ca="1">IFERROR(__xludf.DUMMYFUNCTION("googlefinance(H524,""change"")"),-0.15)</f>
        <v>-0.15</v>
      </c>
      <c r="L524" s="27">
        <f t="shared" ca="1" si="287"/>
        <v>6.5703504043126693E-2</v>
      </c>
      <c r="M524" s="27">
        <f t="shared" ref="M524:M531" ca="1" si="298">L524*U524+(25-J524)/25/U524</f>
        <v>-4.0984880468896732</v>
      </c>
      <c r="N524" s="28" t="s">
        <v>39</v>
      </c>
      <c r="O524" s="28" t="s">
        <v>311</v>
      </c>
      <c r="P524" s="28" t="s">
        <v>92</v>
      </c>
      <c r="Q524" s="29">
        <v>0.30470000000000003</v>
      </c>
      <c r="R524" s="64">
        <v>45825</v>
      </c>
      <c r="S524" s="28" t="s">
        <v>41</v>
      </c>
      <c r="T524" s="62" t="s">
        <v>42</v>
      </c>
      <c r="U524" s="16">
        <f t="shared" ca="1" si="285"/>
        <v>-6.3013698630136991E-2</v>
      </c>
      <c r="V524" s="11" t="str">
        <v>All</v>
      </c>
      <c r="X524">
        <f t="shared" ca="1" si="290"/>
        <v>0.36581270386824588</v>
      </c>
      <c r="Z524" s="17">
        <f t="shared" ca="1" si="291"/>
        <v>46213</v>
      </c>
      <c r="AG524" s="33">
        <f t="shared" ca="1" si="292"/>
        <v>0.20706486591223042</v>
      </c>
      <c r="AH524">
        <f t="shared" ca="1" si="293"/>
        <v>0.11481596155182025</v>
      </c>
      <c r="AI524">
        <f t="shared" ca="1" si="294"/>
        <v>9.7575061210030428E-2</v>
      </c>
      <c r="AJ524">
        <f t="shared" ca="1" si="295"/>
        <v>8.4784698451610879E-2</v>
      </c>
      <c r="AK524">
        <f t="shared" ca="1" si="296"/>
        <v>7.0398839710984984E-2</v>
      </c>
    </row>
    <row r="525" spans="1:37" ht="17.25" customHeight="1">
      <c r="A525" s="19"/>
      <c r="B525" s="45" t="s">
        <v>421</v>
      </c>
      <c r="C525" s="28" t="s">
        <v>35</v>
      </c>
      <c r="D525" s="36" t="s">
        <v>27</v>
      </c>
      <c r="E525" s="36" t="s">
        <v>63</v>
      </c>
      <c r="F525" s="36" t="s">
        <v>29</v>
      </c>
      <c r="G525" s="28" t="s">
        <v>38</v>
      </c>
      <c r="H525" s="23" t="str">
        <f>HYPERLINK("https://innovativeincomeinvestor.com/security/public-storage-4-125-cumulative-preferred-shares/","PSA-M")</f>
        <v>PSA-M</v>
      </c>
      <c r="I525" s="85">
        <v>4.1250000000000002E-2</v>
      </c>
      <c r="J525" s="65">
        <f ca="1">IFERROR(__xludf.DUMMYFUNCTION("GoogleFinance(H525)"),16.8)</f>
        <v>16.8</v>
      </c>
      <c r="K525" s="48">
        <f ca="1">IFERROR(__xludf.DUMMYFUNCTION("googlefinance(H525,""change"")"),-0.05)</f>
        <v>-0.05</v>
      </c>
      <c r="L525" s="27">
        <f t="shared" ca="1" si="287"/>
        <v>6.142857142857143E-2</v>
      </c>
      <c r="M525" s="27">
        <f t="shared" ca="1" si="298"/>
        <v>3.4264618395303326</v>
      </c>
      <c r="N525" s="28" t="s">
        <v>39</v>
      </c>
      <c r="O525" s="28" t="s">
        <v>311</v>
      </c>
      <c r="P525" s="28" t="s">
        <v>92</v>
      </c>
      <c r="Q525" s="29">
        <v>0.25800000000000001</v>
      </c>
      <c r="R525" s="64">
        <v>45883</v>
      </c>
      <c r="S525" s="28" t="s">
        <v>41</v>
      </c>
      <c r="T525" s="62" t="s">
        <v>42</v>
      </c>
      <c r="U525" s="16">
        <f t="shared" ca="1" si="285"/>
        <v>9.5890410958904104E-2</v>
      </c>
      <c r="V525" s="11" t="str">
        <v>All</v>
      </c>
      <c r="X525">
        <f t="shared" ca="1" si="290"/>
        <v>0.4712074707973618</v>
      </c>
      <c r="Z525" s="17">
        <f t="shared" ca="1" si="291"/>
        <v>46213</v>
      </c>
      <c r="AG525" s="33">
        <f t="shared" ca="1" si="292"/>
        <v>0.2558558814550575</v>
      </c>
      <c r="AH525">
        <f t="shared" ca="1" si="293"/>
        <v>0.1319197638301372</v>
      </c>
      <c r="AI525">
        <f t="shared" ca="1" si="294"/>
        <v>0.1088430552470951</v>
      </c>
      <c r="AJ525">
        <f t="shared" ca="1" si="295"/>
        <v>9.1728230992764032E-2</v>
      </c>
      <c r="AK525">
        <f t="shared" ca="1" si="296"/>
        <v>7.2436504400013063E-2</v>
      </c>
    </row>
    <row r="526" spans="1:37" ht="17.25" customHeight="1">
      <c r="A526" s="19"/>
      <c r="B526" s="45" t="s">
        <v>421</v>
      </c>
      <c r="C526" s="28" t="s">
        <v>35</v>
      </c>
      <c r="D526" s="36" t="s">
        <v>27</v>
      </c>
      <c r="E526" s="36" t="s">
        <v>63</v>
      </c>
      <c r="F526" s="36" t="s">
        <v>29</v>
      </c>
      <c r="G526" s="28" t="s">
        <v>38</v>
      </c>
      <c r="H526" s="63" t="str">
        <f>HYPERLINK("https://innovativeincomeinvestor.com/security/public-storage-3-875-cumulative-preferred-shares-series-n/","PSA-N")</f>
        <v>PSA-N</v>
      </c>
      <c r="I526" s="85">
        <v>3.875E-2</v>
      </c>
      <c r="J526" s="65">
        <f ca="1">IFERROR(__xludf.DUMMYFUNCTION("GoogleFinance(H526)"),15.63)</f>
        <v>15.63</v>
      </c>
      <c r="K526" s="48">
        <f ca="1">IFERROR(__xludf.DUMMYFUNCTION("googlefinance(H526,""change"")"),0.01)</f>
        <v>0.01</v>
      </c>
      <c r="L526" s="27">
        <f t="shared" ca="1" si="287"/>
        <v>6.1980166346769033E-2</v>
      </c>
      <c r="M526" s="27">
        <f t="shared" ca="1" si="298"/>
        <v>1.5695113452113751</v>
      </c>
      <c r="N526" s="28" t="s">
        <v>39</v>
      </c>
      <c r="O526" s="28" t="s">
        <v>311</v>
      </c>
      <c r="P526" s="28" t="s">
        <v>92</v>
      </c>
      <c r="Q526" s="29">
        <f t="shared" ref="Q526:Q531" si="299">(I526*25)/4</f>
        <v>0.2421875</v>
      </c>
      <c r="R526" s="64">
        <v>45936</v>
      </c>
      <c r="S526" s="54" t="s">
        <v>41</v>
      </c>
      <c r="T526" s="62" t="s">
        <v>42</v>
      </c>
      <c r="U526" s="16">
        <f t="shared" ca="1" si="285"/>
        <v>0.24109589041095891</v>
      </c>
      <c r="V526" s="11" t="str">
        <v>All</v>
      </c>
      <c r="X526">
        <f t="shared" ca="1" si="290"/>
        <v>0.55087949699548788</v>
      </c>
      <c r="Z526" s="17">
        <f t="shared" ca="1" si="291"/>
        <v>46213</v>
      </c>
      <c r="AG526" s="33">
        <f t="shared" ca="1" si="292"/>
        <v>0.29298526951066517</v>
      </c>
      <c r="AH526">
        <f t="shared" ca="1" si="293"/>
        <v>0.14562122603280339</v>
      </c>
      <c r="AI526">
        <f t="shared" ca="1" si="294"/>
        <v>0.11826406339840344</v>
      </c>
      <c r="AJ526">
        <f t="shared" ca="1" si="295"/>
        <v>9.7986389426064927E-2</v>
      </c>
      <c r="AK526">
        <f t="shared" ca="1" si="296"/>
        <v>7.5124449033066115E-2</v>
      </c>
    </row>
    <row r="527" spans="1:37" ht="17.25" customHeight="1">
      <c r="A527" s="19"/>
      <c r="B527" s="45" t="s">
        <v>421</v>
      </c>
      <c r="C527" s="28" t="s">
        <v>35</v>
      </c>
      <c r="D527" s="36" t="s">
        <v>27</v>
      </c>
      <c r="E527" s="36" t="s">
        <v>63</v>
      </c>
      <c r="F527" s="36" t="s">
        <v>29</v>
      </c>
      <c r="G527" s="28" t="s">
        <v>38</v>
      </c>
      <c r="H527" s="46" t="str">
        <f>HYPERLINK("https://innovativeincomeinvestor.com/security/public-storage-3-90-cumulative-preferred-shares-series-o/","PSA-O")</f>
        <v>PSA-O</v>
      </c>
      <c r="I527" s="85">
        <v>3.9E-2</v>
      </c>
      <c r="J527" s="150">
        <f ca="1">IFERROR(__xludf.DUMMYFUNCTION("IMPORTXML(""https://bigcharts.marketwatch.com/quickchart/quickchart.asp?symb=psapro&amp;insttype=Stock"",""html/body/div[1]/div[2]/table/tbody/tr/td[1]/table/tbody/tr[3]/td[1]/div"")"),15.69)</f>
        <v>15.69</v>
      </c>
      <c r="K527" s="48">
        <f ca="1">IFERROR(__xludf.DUMMYFUNCTION("googlefinance(H527,""change"")"),0.04)</f>
        <v>0.04</v>
      </c>
      <c r="L527" s="27">
        <f t="shared" ca="1" si="287"/>
        <v>6.2141491395793502E-2</v>
      </c>
      <c r="M527" s="27">
        <f t="shared" ca="1" si="298"/>
        <v>1.0677172013611995</v>
      </c>
      <c r="N527" s="28" t="s">
        <v>39</v>
      </c>
      <c r="O527" s="28" t="s">
        <v>311</v>
      </c>
      <c r="P527" s="28" t="s">
        <v>92</v>
      </c>
      <c r="Q527" s="29">
        <f t="shared" si="299"/>
        <v>0.24374999999999999</v>
      </c>
      <c r="R527" s="64">
        <v>45978</v>
      </c>
      <c r="S527" s="54" t="s">
        <v>41</v>
      </c>
      <c r="T527" s="62" t="s">
        <v>42</v>
      </c>
      <c r="U527" s="16">
        <f t="shared" ca="1" si="285"/>
        <v>0.35616438356164382</v>
      </c>
      <c r="V527" s="11" t="str">
        <v>All</v>
      </c>
      <c r="X527">
        <f t="shared" ca="1" si="290"/>
        <v>0.54677748924521763</v>
      </c>
      <c r="Z527" s="17">
        <f t="shared" ca="1" si="291"/>
        <v>46213</v>
      </c>
      <c r="AG527" s="33">
        <f t="shared" ca="1" si="292"/>
        <v>0.2911650280137752</v>
      </c>
      <c r="AH527">
        <f t="shared" ca="1" si="293"/>
        <v>0.1450507966102072</v>
      </c>
      <c r="AI527">
        <f t="shared" ca="1" si="294"/>
        <v>0.11792221105548409</v>
      </c>
      <c r="AJ527">
        <f t="shared" ca="1" si="295"/>
        <v>9.7814269591484343E-2</v>
      </c>
      <c r="AK527">
        <f t="shared" ca="1" si="296"/>
        <v>7.5147970996811378E-2</v>
      </c>
    </row>
    <row r="528" spans="1:37" ht="17.25" customHeight="1">
      <c r="A528" s="19"/>
      <c r="B528" s="45" t="s">
        <v>421</v>
      </c>
      <c r="C528" s="28" t="s">
        <v>35</v>
      </c>
      <c r="D528" s="36" t="s">
        <v>27</v>
      </c>
      <c r="E528" s="36" t="s">
        <v>63</v>
      </c>
      <c r="F528" s="36" t="s">
        <v>29</v>
      </c>
      <c r="G528" s="28" t="s">
        <v>38</v>
      </c>
      <c r="H528" s="46" t="str">
        <f>HYPERLINK("https://innovativeincomeinvestor.com/security/public-storage-4-00-cumulative-redeemable-preferred-stock/","PSA-P")</f>
        <v>PSA-P</v>
      </c>
      <c r="I528" s="85">
        <v>0.04</v>
      </c>
      <c r="J528" s="56">
        <f ca="1">IFERROR(__xludf.DUMMYFUNCTION("IMPORTXML(""https://bigcharts.marketwatch.com/quickchart/quickchart.asp?symb=psa.PRp&amp;insttype=Stock"",""html/body/div[1]/div[2]/table/tbody/tr/td[1]/table/tbody/tr[3]/td[1]/div"")"),15.95)</f>
        <v>15.95</v>
      </c>
      <c r="K528" s="48">
        <f ca="1">IFERROR(__xludf.DUMMYFUNCTION("googlefinance(H528,""change"")"),-0.07)</f>
        <v>-7.0000000000000007E-2</v>
      </c>
      <c r="L528" s="27">
        <f t="shared" ca="1" si="287"/>
        <v>6.269592476489029E-2</v>
      </c>
      <c r="M528" s="27">
        <f t="shared" ca="1" si="298"/>
        <v>0.44605145886463032</v>
      </c>
      <c r="N528" s="28" t="s">
        <v>39</v>
      </c>
      <c r="O528" s="28" t="s">
        <v>311</v>
      </c>
      <c r="P528" s="28" t="s">
        <v>92</v>
      </c>
      <c r="Q528" s="29">
        <f t="shared" si="299"/>
        <v>0.25</v>
      </c>
      <c r="R528" s="64">
        <v>46189</v>
      </c>
      <c r="S528" s="54" t="s">
        <v>41</v>
      </c>
      <c r="T528" s="62" t="s">
        <v>42</v>
      </c>
      <c r="U528" s="16">
        <f t="shared" ca="1" si="285"/>
        <v>0.9342465753424658</v>
      </c>
      <c r="V528" s="11" t="str">
        <v>All</v>
      </c>
      <c r="X528">
        <f t="shared" ca="1" si="290"/>
        <v>0.52911634126808704</v>
      </c>
      <c r="Z528" s="17">
        <f t="shared" ca="1" si="291"/>
        <v>46213</v>
      </c>
      <c r="AG528" s="33">
        <f t="shared" ca="1" si="292"/>
        <v>0.28325967528663359</v>
      </c>
      <c r="AH528">
        <f t="shared" ca="1" si="293"/>
        <v>0.14249824117387408</v>
      </c>
      <c r="AI528">
        <f t="shared" ca="1" si="294"/>
        <v>0.11634875056054284</v>
      </c>
      <c r="AJ528">
        <f t="shared" ca="1" si="295"/>
        <v>9.6967229684808545E-2</v>
      </c>
      <c r="AK528">
        <f t="shared" ca="1" si="296"/>
        <v>7.5134981748185128E-2</v>
      </c>
    </row>
    <row r="529" spans="1:37" ht="17.25" customHeight="1">
      <c r="A529" s="19"/>
      <c r="B529" s="45" t="s">
        <v>421</v>
      </c>
      <c r="C529" s="28" t="s">
        <v>35</v>
      </c>
      <c r="D529" s="36" t="s">
        <v>27</v>
      </c>
      <c r="E529" s="36" t="s">
        <v>63</v>
      </c>
      <c r="F529" s="36" t="s">
        <v>29</v>
      </c>
      <c r="G529" s="28" t="s">
        <v>38</v>
      </c>
      <c r="H529" s="46" t="str">
        <f>HYPERLINK("https://innovativeincomeinvestor.com/security/public-storage-3-950-cumulative-preferred-shares-series-q/","PSA-Q")</f>
        <v>PSA-Q</v>
      </c>
      <c r="I529" s="47">
        <v>3.95E-2</v>
      </c>
      <c r="J529" s="25">
        <f ca="1">IFERROR(__xludf.DUMMYFUNCTION("GoogleFinance(H529)"),15.78)</f>
        <v>15.78</v>
      </c>
      <c r="K529" s="48">
        <f ca="1">IFERROR(__xludf.DUMMYFUNCTION("googlefinance(H529,""change"")"),-0.19)</f>
        <v>-0.19</v>
      </c>
      <c r="L529" s="27">
        <f t="shared" ca="1" si="287"/>
        <v>6.257921419518378E-2</v>
      </c>
      <c r="M529" s="27">
        <f t="shared" ca="1" si="298"/>
        <v>0.40311912436334074</v>
      </c>
      <c r="N529" s="28" t="s">
        <v>39</v>
      </c>
      <c r="O529" s="28" t="s">
        <v>311</v>
      </c>
      <c r="P529" s="28" t="s">
        <v>92</v>
      </c>
      <c r="Q529" s="29">
        <f t="shared" si="299"/>
        <v>0.24687500000000001</v>
      </c>
      <c r="R529" s="82">
        <v>46251</v>
      </c>
      <c r="S529" s="54" t="s">
        <v>41</v>
      </c>
      <c r="T529" s="62" t="s">
        <v>42</v>
      </c>
      <c r="U529" s="16">
        <f t="shared" ca="1" si="285"/>
        <v>1.1041095890410959</v>
      </c>
      <c r="V529" s="11" t="str">
        <v>All</v>
      </c>
      <c r="X529">
        <f t="shared" ca="1" si="290"/>
        <v>0.540830010747818</v>
      </c>
      <c r="Z529" s="17">
        <f t="shared" ca="1" si="291"/>
        <v>46213</v>
      </c>
      <c r="AG529" s="33">
        <f t="shared" ca="1" si="292"/>
        <v>0.28861412477657594</v>
      </c>
      <c r="AH529">
        <f t="shared" ca="1" si="293"/>
        <v>0.14436327978253427</v>
      </c>
      <c r="AI529">
        <f t="shared" ca="1" si="294"/>
        <v>0.11757648929965385</v>
      </c>
      <c r="AJ529">
        <f t="shared" ca="1" si="295"/>
        <v>9.7723308088797062E-2</v>
      </c>
      <c r="AK529">
        <f t="shared" ca="1" si="296"/>
        <v>7.535465469691946E-2</v>
      </c>
    </row>
    <row r="530" spans="1:37" ht="17.25" customHeight="1">
      <c r="A530" s="19"/>
      <c r="B530" s="45" t="s">
        <v>421</v>
      </c>
      <c r="C530" s="28" t="s">
        <v>35</v>
      </c>
      <c r="D530" s="36" t="s">
        <v>27</v>
      </c>
      <c r="E530" s="36" t="s">
        <v>63</v>
      </c>
      <c r="F530" s="36" t="s">
        <v>29</v>
      </c>
      <c r="G530" s="28" t="s">
        <v>38</v>
      </c>
      <c r="H530" s="83" t="str">
        <f>HYPERLINK("https://innovativeincomeinvestor.com/security/public-storage-4-00-cumulative-preferred-stock-series-r/","PSA-R")</f>
        <v>PSA-R</v>
      </c>
      <c r="I530" s="47">
        <v>0.04</v>
      </c>
      <c r="J530" s="65">
        <f ca="1">IFERROR(__xludf.DUMMYFUNCTION("GoogleFinance(H530)"),15.96)</f>
        <v>15.96</v>
      </c>
      <c r="K530" s="48">
        <f ca="1">IFERROR(__xludf.DUMMYFUNCTION("googlefinance(H530,""change"")"),-0.07)</f>
        <v>-7.0000000000000007E-2</v>
      </c>
      <c r="L530" s="27">
        <f t="shared" ca="1" si="287"/>
        <v>6.2656641604010022E-2</v>
      </c>
      <c r="M530" s="27">
        <f t="shared" ca="1" si="298"/>
        <v>0.35087739800978424</v>
      </c>
      <c r="N530" s="28" t="s">
        <v>39</v>
      </c>
      <c r="O530" s="28" t="s">
        <v>311</v>
      </c>
      <c r="P530" s="28" t="s">
        <v>92</v>
      </c>
      <c r="Q530" s="29">
        <f t="shared" si="299"/>
        <v>0.25</v>
      </c>
      <c r="R530" s="64">
        <v>46345</v>
      </c>
      <c r="S530" s="28" t="s">
        <v>41</v>
      </c>
      <c r="T530" s="62" t="s">
        <v>42</v>
      </c>
      <c r="U530" s="16">
        <f t="shared" ca="1" si="285"/>
        <v>1.3616438356164384</v>
      </c>
      <c r="V530" s="11" t="str">
        <v>All</v>
      </c>
      <c r="X530">
        <f t="shared" ca="1" si="290"/>
        <v>0.52839284307127576</v>
      </c>
      <c r="Z530" s="17">
        <f t="shared" ca="1" si="291"/>
        <v>46213</v>
      </c>
      <c r="AG530" s="33">
        <f t="shared" ca="1" si="292"/>
        <v>0.28290831212175427</v>
      </c>
      <c r="AH530">
        <f t="shared" ca="1" si="293"/>
        <v>0.14235098950625868</v>
      </c>
      <c r="AI530">
        <f t="shared" ca="1" si="294"/>
        <v>0.11623859016372648</v>
      </c>
      <c r="AJ530">
        <f t="shared" ca="1" si="295"/>
        <v>9.6884302003886619E-2</v>
      </c>
      <c r="AK530">
        <f t="shared" ca="1" si="296"/>
        <v>7.5082075967512152E-2</v>
      </c>
    </row>
    <row r="531" spans="1:37" ht="17.25" customHeight="1">
      <c r="A531" s="19"/>
      <c r="B531" s="45" t="s">
        <v>421</v>
      </c>
      <c r="C531" s="28" t="s">
        <v>35</v>
      </c>
      <c r="D531" s="36" t="s">
        <v>27</v>
      </c>
      <c r="E531" s="36" t="s">
        <v>63</v>
      </c>
      <c r="F531" s="36" t="s">
        <v>29</v>
      </c>
      <c r="G531" s="28" t="s">
        <v>38</v>
      </c>
      <c r="H531" s="23" t="str">
        <f>HYPERLINK("https://innovativeincomeinvestor.com/security/public-storage-4-10-cumulative-preferred-stock-series-s/","PSA-S")</f>
        <v>PSA-S</v>
      </c>
      <c r="I531" s="47">
        <v>4.1000000000000002E-2</v>
      </c>
      <c r="J531" s="65">
        <f ca="1">IFERROR(__xludf.DUMMYFUNCTION("GoogleFinance(H531)"),16.39)</f>
        <v>16.39</v>
      </c>
      <c r="K531" s="48">
        <f ca="1">IFERROR(__xludf.DUMMYFUNCTION("googlefinance(H531,""change"")"),0.01)</f>
        <v>0.01</v>
      </c>
      <c r="L531" s="27">
        <f t="shared" ca="1" si="287"/>
        <v>6.2538133007931665E-2</v>
      </c>
      <c r="M531" s="27">
        <f t="shared" ca="1" si="298"/>
        <v>0.32254844103791891</v>
      </c>
      <c r="N531" s="28" t="s">
        <v>39</v>
      </c>
      <c r="O531" s="28" t="s">
        <v>311</v>
      </c>
      <c r="P531" s="28" t="s">
        <v>92</v>
      </c>
      <c r="Q531" s="29">
        <f t="shared" si="299"/>
        <v>0.25625000000000003</v>
      </c>
      <c r="R531" s="64">
        <v>46399</v>
      </c>
      <c r="S531" s="28" t="s">
        <v>41</v>
      </c>
      <c r="T531" s="62" t="s">
        <v>42</v>
      </c>
      <c r="U531" s="16">
        <f t="shared" ca="1" si="285"/>
        <v>1.5095890410958903</v>
      </c>
      <c r="V531" s="11" t="str">
        <v>All</v>
      </c>
      <c r="X531">
        <f t="shared" ca="1" si="290"/>
        <v>0.49912986789903757</v>
      </c>
      <c r="Z531" s="17">
        <f t="shared" ca="1" si="291"/>
        <v>46213</v>
      </c>
      <c r="AG531" s="33">
        <f t="shared" ca="1" si="292"/>
        <v>0.26932279307537987</v>
      </c>
      <c r="AH531">
        <f t="shared" ca="1" si="293"/>
        <v>0.13739638590445777</v>
      </c>
      <c r="AI531">
        <f t="shared" ca="1" si="294"/>
        <v>0.1128609537871595</v>
      </c>
      <c r="AJ531">
        <f t="shared" ca="1" si="295"/>
        <v>9.4672149002421935E-2</v>
      </c>
      <c r="AK531">
        <f t="shared" ca="1" si="296"/>
        <v>7.418671182938473E-2</v>
      </c>
    </row>
    <row r="532" spans="1:37" ht="17.25" customHeight="1">
      <c r="A532" s="19"/>
      <c r="B532" s="45" t="s">
        <v>422</v>
      </c>
      <c r="C532" s="28" t="s">
        <v>35</v>
      </c>
      <c r="D532" s="36" t="s">
        <v>27</v>
      </c>
      <c r="E532" s="28" t="s">
        <v>119</v>
      </c>
      <c r="F532" s="36" t="s">
        <v>29</v>
      </c>
      <c r="G532" s="28" t="s">
        <v>151</v>
      </c>
      <c r="H532" s="83" t="str">
        <f>HYPERLINK("https://innovativeincomeinvestor.com/security/pyxis-tankers-7-75-convertible-preferred-stock/","PXSAP")</f>
        <v>PXSAP</v>
      </c>
      <c r="I532" s="47">
        <v>7.7499999999999999E-2</v>
      </c>
      <c r="J532" s="86" t="s">
        <v>68</v>
      </c>
      <c r="K532" s="169" t="s">
        <v>68</v>
      </c>
      <c r="L532" s="88" t="s">
        <v>68</v>
      </c>
      <c r="M532" s="88" t="s">
        <v>68</v>
      </c>
      <c r="N532" s="28" t="s">
        <v>31</v>
      </c>
      <c r="O532" s="28" t="s">
        <v>32</v>
      </c>
      <c r="P532" s="28" t="s">
        <v>32</v>
      </c>
      <c r="Q532" s="29">
        <f>(I532*25)/12</f>
        <v>0.16145833333333334</v>
      </c>
      <c r="R532" s="64">
        <v>45151</v>
      </c>
      <c r="S532" s="28" t="s">
        <v>41</v>
      </c>
      <c r="T532" s="62" t="s">
        <v>423</v>
      </c>
      <c r="U532" s="16">
        <f t="shared" ca="1" si="285"/>
        <v>-1.9095890410958904</v>
      </c>
      <c r="V532" s="11" t="str">
        <v>All</v>
      </c>
      <c r="X532" t="e">
        <f t="shared" ca="1" si="290"/>
        <v>#VALUE!</v>
      </c>
      <c r="Z532" s="17">
        <f t="shared" ca="1" si="291"/>
        <v>46213</v>
      </c>
      <c r="AG532" s="33" t="e">
        <f t="shared" ca="1" si="292"/>
        <v>#VALUE!</v>
      </c>
      <c r="AH532" t="e">
        <f t="shared" ca="1" si="293"/>
        <v>#VALUE!</v>
      </c>
      <c r="AI532" t="e">
        <f t="shared" ca="1" si="294"/>
        <v>#VALUE!</v>
      </c>
      <c r="AJ532" t="e">
        <f t="shared" ca="1" si="295"/>
        <v>#VALUE!</v>
      </c>
      <c r="AK532" t="e">
        <f t="shared" ca="1" si="296"/>
        <v>#VALUE!</v>
      </c>
    </row>
    <row r="533" spans="1:37" ht="17.25" customHeight="1">
      <c r="A533" s="19"/>
      <c r="B533" s="45" t="s">
        <v>424</v>
      </c>
      <c r="C533" s="28" t="s">
        <v>27</v>
      </c>
      <c r="D533" s="36" t="s">
        <v>27</v>
      </c>
      <c r="E533" s="28" t="s">
        <v>425</v>
      </c>
      <c r="F533" s="36" t="s">
        <v>29</v>
      </c>
      <c r="G533" s="28" t="s">
        <v>30</v>
      </c>
      <c r="H533" s="66" t="str">
        <f>HYPERLINK("https://innovativeincomeinvestor.com/security/qvc-inc-6-375-senior-secured-notes-due-2067/","QVCD")</f>
        <v>QVCD</v>
      </c>
      <c r="I533" s="47">
        <v>6.3750000000000001E-2</v>
      </c>
      <c r="J533" s="56">
        <f ca="1">IFERROR(__xludf.DUMMYFUNCTION("IMPORTXML(""https://bigcharts.marketwatch.com/quickchart/quickchart.asp?symb=QVCD&amp;insttype=Stock"",""html/body/div[1]/div[2]/table/tbody/tr/td[1]/table/tbody/tr[3]/td[1]/div"")"),10.04)</f>
        <v>10.039999999999999</v>
      </c>
      <c r="K533" s="149">
        <f ca="1">IFERROR(__xludf.DUMMYFUNCTION("googlefinance(H533,""change"")"),-0.05)</f>
        <v>-0.05</v>
      </c>
      <c r="L533" s="108">
        <f t="shared" ref="L533:L535" ca="1" si="300">(Q533*4)/J533</f>
        <v>0.15874003984063748</v>
      </c>
      <c r="M533" s="108">
        <f t="shared" ref="M533:M536" ca="1" si="301">(25-J533)/25</f>
        <v>0.59840000000000004</v>
      </c>
      <c r="N533" s="28" t="s">
        <v>31</v>
      </c>
      <c r="O533" s="28" t="s">
        <v>69</v>
      </c>
      <c r="P533" s="28" t="s">
        <v>146</v>
      </c>
      <c r="Q533" s="29">
        <f t="shared" ref="Q533:Q534" si="302">(I533*25)/4</f>
        <v>0.3984375</v>
      </c>
      <c r="R533" s="64">
        <v>45182</v>
      </c>
      <c r="S533" s="82">
        <v>61253</v>
      </c>
      <c r="T533" s="62" t="s">
        <v>52</v>
      </c>
      <c r="U533" s="16">
        <f t="shared" ca="1" si="285"/>
        <v>-1.8246575342465754</v>
      </c>
      <c r="V533" s="11" t="str">
        <v>All</v>
      </c>
      <c r="X533">
        <f t="shared" ca="1" si="290"/>
        <v>1.1419179429932678</v>
      </c>
      <c r="Z533" s="17">
        <f t="shared" ca="1" si="291"/>
        <v>46213</v>
      </c>
      <c r="AG533" s="33">
        <f t="shared" ca="1" si="292"/>
        <v>0.59495256415142583</v>
      </c>
      <c r="AH533">
        <f t="shared" ca="1" si="293"/>
        <v>0.2974719486649216</v>
      </c>
      <c r="AI533">
        <f t="shared" ca="1" si="294"/>
        <v>0.24433319579117102</v>
      </c>
      <c r="AJ533">
        <f t="shared" ca="1" si="295"/>
        <v>0.20627716384564729</v>
      </c>
      <c r="AK533">
        <f t="shared" ca="1" si="296"/>
        <v>0.16837743176566666</v>
      </c>
    </row>
    <row r="534" spans="1:37" ht="17.25" customHeight="1">
      <c r="A534" s="19"/>
      <c r="B534" s="45" t="s">
        <v>424</v>
      </c>
      <c r="C534" s="28" t="s">
        <v>27</v>
      </c>
      <c r="D534" s="36" t="s">
        <v>27</v>
      </c>
      <c r="E534" s="28" t="s">
        <v>67</v>
      </c>
      <c r="F534" s="36" t="s">
        <v>29</v>
      </c>
      <c r="G534" s="28" t="s">
        <v>30</v>
      </c>
      <c r="H534" s="23" t="str">
        <f>HYPERLINK("https://innovativeincomeinvestor.com/security/qvc-inc-6-25-senior-secured-notes-due-2068/","QVCC")</f>
        <v>QVCC</v>
      </c>
      <c r="I534" s="47">
        <v>6.25E-2</v>
      </c>
      <c r="J534" s="56">
        <f ca="1">IFERROR(__xludf.DUMMYFUNCTION("GOOGLEFINANCE(H534)"),10.21)</f>
        <v>10.210000000000001</v>
      </c>
      <c r="K534" s="113">
        <f ca="1">IFERROR(__xludf.DUMMYFUNCTION("googlefinance(H534,""change"")"),0.2)</f>
        <v>0.2</v>
      </c>
      <c r="L534" s="97">
        <f t="shared" ca="1" si="300"/>
        <v>0.15303623898139079</v>
      </c>
      <c r="M534" s="27">
        <f t="shared" ca="1" si="301"/>
        <v>0.59160000000000001</v>
      </c>
      <c r="N534" s="89" t="s">
        <v>31</v>
      </c>
      <c r="O534" s="89" t="s">
        <v>69</v>
      </c>
      <c r="P534" s="89" t="s">
        <v>146</v>
      </c>
      <c r="Q534" s="91">
        <f t="shared" si="302"/>
        <v>0.390625</v>
      </c>
      <c r="R534" s="92">
        <v>45622</v>
      </c>
      <c r="S534" s="189">
        <v>61693</v>
      </c>
      <c r="T534" s="93" t="s">
        <v>52</v>
      </c>
      <c r="U534" s="16">
        <f t="shared" ca="1" si="285"/>
        <v>-0.61917808219178083</v>
      </c>
      <c r="V534" s="11" t="str">
        <v>All</v>
      </c>
      <c r="X534">
        <f t="shared" ca="1" si="290"/>
        <v>1.1172074282708595</v>
      </c>
      <c r="Z534" s="17">
        <f t="shared" ca="1" si="291"/>
        <v>46213</v>
      </c>
      <c r="AG534" s="33">
        <f t="shared" ca="1" si="292"/>
        <v>0.58212674954907839</v>
      </c>
      <c r="AH534">
        <f t="shared" ca="1" si="293"/>
        <v>0.29050839962612252</v>
      </c>
      <c r="AI534">
        <f t="shared" ca="1" si="294"/>
        <v>0.23830191793827529</v>
      </c>
      <c r="AJ534">
        <f t="shared" ca="1" si="295"/>
        <v>0.20081916069573738</v>
      </c>
      <c r="AK534">
        <f t="shared" ca="1" si="296"/>
        <v>0.16311883763292495</v>
      </c>
    </row>
    <row r="535" spans="1:37" ht="17.25" customHeight="1">
      <c r="A535" s="19"/>
      <c r="B535" s="45" t="s">
        <v>426</v>
      </c>
      <c r="C535" s="28" t="s">
        <v>27</v>
      </c>
      <c r="D535" s="36" t="s">
        <v>27</v>
      </c>
      <c r="E535" s="28" t="s">
        <v>113</v>
      </c>
      <c r="F535" s="36" t="s">
        <v>29</v>
      </c>
      <c r="G535" s="28" t="s">
        <v>30</v>
      </c>
      <c r="H535" s="51" t="str">
        <f>HYPERLINK("https://innovativeincomeinvestor.com/security/qwest-corp-6-50/","CTBB")</f>
        <v>CTBB</v>
      </c>
      <c r="I535" s="47">
        <v>6.5000000000000002E-2</v>
      </c>
      <c r="J535" s="26">
        <f ca="1">IFERROR(__xludf.DUMMYFUNCTION("GOOGLEFINANCE(H535)"),18.62)</f>
        <v>18.62</v>
      </c>
      <c r="K535" s="26">
        <f ca="1">IFERROR(__xludf.DUMMYFUNCTION("GOOGLEFINANCE(H535,""change"")"),-0.15)</f>
        <v>-0.15</v>
      </c>
      <c r="L535" s="27">
        <f t="shared" ca="1" si="300"/>
        <v>8.7218045112781958E-2</v>
      </c>
      <c r="M535" s="27">
        <f t="shared" ca="1" si="301"/>
        <v>0.25519999999999998</v>
      </c>
      <c r="N535" s="28" t="s">
        <v>31</v>
      </c>
      <c r="O535" s="28" t="s">
        <v>223</v>
      </c>
      <c r="P535" s="28" t="s">
        <v>411</v>
      </c>
      <c r="Q535" s="65">
        <v>0.40600000000000003</v>
      </c>
      <c r="R535" s="64">
        <v>44440</v>
      </c>
      <c r="S535" s="64">
        <v>57224</v>
      </c>
      <c r="T535" s="62" t="s">
        <v>81</v>
      </c>
      <c r="U535" s="16">
        <f t="shared" ca="1" si="285"/>
        <v>-3.8575342465753426</v>
      </c>
      <c r="V535" s="11" t="str">
        <v>All</v>
      </c>
      <c r="X535">
        <f t="shared" ca="1" si="290"/>
        <v>0.38430081588205611</v>
      </c>
      <c r="Z535" s="17">
        <f t="shared" ca="1" si="291"/>
        <v>46213</v>
      </c>
      <c r="AG535" s="33">
        <f t="shared" ca="1" si="292"/>
        <v>0.22733091774277328</v>
      </c>
      <c r="AH535">
        <f t="shared" ca="1" si="293"/>
        <v>0.13624239848034131</v>
      </c>
      <c r="AI535">
        <f t="shared" ca="1" si="294"/>
        <v>0.11931449297557555</v>
      </c>
      <c r="AJ535">
        <f t="shared" ca="1" si="295"/>
        <v>0.10686045905073822</v>
      </c>
      <c r="AK535">
        <f t="shared" ca="1" si="296"/>
        <v>9.32837073838092E-2</v>
      </c>
    </row>
    <row r="536" spans="1:37" ht="17.25" customHeight="1">
      <c r="A536" s="19"/>
      <c r="B536" s="45" t="s">
        <v>426</v>
      </c>
      <c r="C536" s="28" t="s">
        <v>27</v>
      </c>
      <c r="D536" s="36" t="s">
        <v>27</v>
      </c>
      <c r="E536" s="28" t="s">
        <v>113</v>
      </c>
      <c r="F536" s="36" t="s">
        <v>29</v>
      </c>
      <c r="G536" s="28" t="s">
        <v>30</v>
      </c>
      <c r="H536" s="51" t="str">
        <f>HYPERLINK("https://innovativeincomeinvestor.com/security/qwest-corp-6-75/","CTDD")</f>
        <v>CTDD</v>
      </c>
      <c r="I536" s="47">
        <v>6.7500000000000004E-2</v>
      </c>
      <c r="J536" s="26">
        <f ca="1">IFERROR(__xludf.DUMMYFUNCTION("GOOGLEFINANCE(H536)"),18.73)</f>
        <v>18.73</v>
      </c>
      <c r="K536" s="26">
        <f ca="1">IFERROR(__xludf.DUMMYFUNCTION("GOOGLEFINANCE(H536,""change"")"),0)</f>
        <v>0</v>
      </c>
      <c r="L536" s="27">
        <f t="shared" ref="L536:L538" ca="1" si="303">Q536*4/J536</f>
        <v>9.0122797650827549E-2</v>
      </c>
      <c r="M536" s="27">
        <f t="shared" ca="1" si="301"/>
        <v>0.25079999999999997</v>
      </c>
      <c r="N536" s="28" t="s">
        <v>31</v>
      </c>
      <c r="O536" s="28" t="s">
        <v>223</v>
      </c>
      <c r="P536" s="28" t="s">
        <v>411</v>
      </c>
      <c r="Q536" s="65">
        <v>0.42199999999999999</v>
      </c>
      <c r="R536" s="64">
        <v>44727</v>
      </c>
      <c r="S536" s="64">
        <v>57511</v>
      </c>
      <c r="T536" s="62" t="s">
        <v>52</v>
      </c>
      <c r="U536" s="16">
        <f t="shared" ca="1" si="285"/>
        <v>-3.0712328767123287</v>
      </c>
      <c r="V536" s="11" t="str">
        <v>All</v>
      </c>
      <c r="X536">
        <f t="shared" ca="1" si="290"/>
        <v>0.38067712909736795</v>
      </c>
      <c r="Z536" s="17">
        <f t="shared" ca="1" si="291"/>
        <v>46213</v>
      </c>
      <c r="AG536" s="33">
        <f t="shared" ca="1" si="292"/>
        <v>0.2269756608567782</v>
      </c>
      <c r="AH536">
        <f t="shared" ca="1" si="293"/>
        <v>0.13775460577763265</v>
      </c>
      <c r="AI536">
        <f t="shared" ca="1" si="294"/>
        <v>0.12118344526466103</v>
      </c>
      <c r="AJ536">
        <f t="shared" ca="1" si="295"/>
        <v>0.10900574045585502</v>
      </c>
      <c r="AK536">
        <f t="shared" ca="1" si="296"/>
        <v>9.5788263802739734E-2</v>
      </c>
    </row>
    <row r="537" spans="1:37" ht="17.25" customHeight="1">
      <c r="A537" s="19"/>
      <c r="B537" s="45" t="s">
        <v>427</v>
      </c>
      <c r="C537" s="28" t="s">
        <v>27</v>
      </c>
      <c r="D537" s="28" t="s">
        <v>27</v>
      </c>
      <c r="E537" s="28" t="s">
        <v>67</v>
      </c>
      <c r="F537" s="36" t="s">
        <v>29</v>
      </c>
      <c r="G537" s="28" t="s">
        <v>30</v>
      </c>
      <c r="H537" s="55" t="str">
        <f>HYPERLINK("https://innovativeincomeinvestor.com/security/ramaco-resources-inc-9-00-senior-note4s-due-2026/","METCL")</f>
        <v>METCL</v>
      </c>
      <c r="I537" s="47">
        <v>0.09</v>
      </c>
      <c r="J537" s="26">
        <f ca="1">IFERROR(__xludf.DUMMYFUNCTION("GOOGLEFINANCE(H537)"),25.8)</f>
        <v>25.8</v>
      </c>
      <c r="K537" s="26">
        <f ca="1">IFERROR(__xludf.DUMMYFUNCTION("GOOGLEFINANCE(H537,""change"")"),0.04)</f>
        <v>0.04</v>
      </c>
      <c r="L537" s="27">
        <f t="shared" ca="1" si="303"/>
        <v>8.6821705426356602E-2</v>
      </c>
      <c r="M537" s="27">
        <f t="shared" ref="M537:M539" ca="1" si="304">L537*U537+(25-J537)/25/U537</f>
        <v>-0.15269635800950701</v>
      </c>
      <c r="N537" s="28" t="s">
        <v>31</v>
      </c>
      <c r="O537" s="28" t="s">
        <v>32</v>
      </c>
      <c r="P537" s="28" t="s">
        <v>32</v>
      </c>
      <c r="Q537" s="29">
        <v>0.56000000000000005</v>
      </c>
      <c r="R537" s="64">
        <v>45137</v>
      </c>
      <c r="S537" s="64">
        <v>46233</v>
      </c>
      <c r="T537" s="62" t="s">
        <v>45</v>
      </c>
      <c r="U537" s="16">
        <f t="shared" ca="1" si="285"/>
        <v>-1.9479452054794522</v>
      </c>
      <c r="V537" s="11" t="str">
        <v>All</v>
      </c>
      <c r="X537">
        <f t="shared" ca="1" si="290"/>
        <v>5.6854878581595214E-2</v>
      </c>
      <c r="Z537" s="17">
        <f t="shared" ca="1" si="291"/>
        <v>46213</v>
      </c>
      <c r="AG537" s="33">
        <f t="shared" ca="1" si="292"/>
        <v>7.26645753286881E-2</v>
      </c>
      <c r="AH537">
        <f t="shared" ca="1" si="293"/>
        <v>8.2127541555189296E-2</v>
      </c>
      <c r="AI537">
        <f t="shared" ca="1" si="294"/>
        <v>8.3904462988115519E-2</v>
      </c>
      <c r="AJ537">
        <f t="shared" ca="1" si="295"/>
        <v>8.5210840818816136E-2</v>
      </c>
      <c r="AK537">
        <f t="shared" ca="1" si="296"/>
        <v>8.6616905428949661E-2</v>
      </c>
    </row>
    <row r="538" spans="1:37" ht="17.25" customHeight="1">
      <c r="A538" s="19"/>
      <c r="B538" s="45" t="s">
        <v>427</v>
      </c>
      <c r="C538" s="28" t="s">
        <v>27</v>
      </c>
      <c r="D538" s="28" t="s">
        <v>27</v>
      </c>
      <c r="E538" s="28" t="s">
        <v>67</v>
      </c>
      <c r="F538" s="28" t="s">
        <v>29</v>
      </c>
      <c r="G538" s="28" t="s">
        <v>30</v>
      </c>
      <c r="H538" s="51" t="str">
        <f>HYPERLINK("https://innovativeincomeinvestor.com/security/ramaco-resources-inc-8-375-senior-notes-due-2029/","METCZ")</f>
        <v>METCZ</v>
      </c>
      <c r="I538" s="47">
        <v>8.3750000000000005E-2</v>
      </c>
      <c r="J538" s="26">
        <f ca="1">IFERROR(__xludf.DUMMYFUNCTION("GOOGLEFINANCE(H538)"),24.98)</f>
        <v>24.98</v>
      </c>
      <c r="K538" s="26">
        <f ca="1">IFERROR(__xludf.DUMMYFUNCTION("GOOGLEFINANCE(H538,""change"")"),0.02)</f>
        <v>0.02</v>
      </c>
      <c r="L538" s="27">
        <f t="shared" ca="1" si="303"/>
        <v>8.3266613290632507E-2</v>
      </c>
      <c r="M538" s="27">
        <f t="shared" ca="1" si="304"/>
        <v>0.1164636786335551</v>
      </c>
      <c r="N538" s="28" t="s">
        <v>31</v>
      </c>
      <c r="O538" s="28" t="s">
        <v>32</v>
      </c>
      <c r="P538" s="28" t="s">
        <v>32</v>
      </c>
      <c r="Q538" s="29">
        <v>0.52</v>
      </c>
      <c r="R538" s="64">
        <v>46356</v>
      </c>
      <c r="S538" s="64">
        <v>47452</v>
      </c>
      <c r="T538" s="62" t="s">
        <v>45</v>
      </c>
      <c r="U538" s="16">
        <f t="shared" ca="1" si="285"/>
        <v>1.3917808219178083</v>
      </c>
      <c r="V538" s="11" t="str">
        <v>All</v>
      </c>
      <c r="X538">
        <f t="shared" ca="1" si="290"/>
        <v>8.4592738857697622E-2</v>
      </c>
      <c r="Z538" s="17">
        <f t="shared" ca="1" si="291"/>
        <v>46213</v>
      </c>
      <c r="AG538" s="33">
        <f t="shared" ca="1" si="292"/>
        <v>8.4188805131574118E-2</v>
      </c>
      <c r="AH538">
        <f t="shared" ca="1" si="293"/>
        <v>8.3947070339143767E-2</v>
      </c>
      <c r="AI538">
        <f t="shared" ca="1" si="294"/>
        <v>8.3901466541511066E-2</v>
      </c>
      <c r="AJ538">
        <f t="shared" ca="1" si="295"/>
        <v>8.3868313994260243E-2</v>
      </c>
      <c r="AK538">
        <f t="shared" ca="1" si="296"/>
        <v>8.3831670663453595E-2</v>
      </c>
    </row>
    <row r="539" spans="1:37" ht="17.25" customHeight="1">
      <c r="A539" s="19"/>
      <c r="B539" s="45" t="s">
        <v>428</v>
      </c>
      <c r="C539" s="28" t="s">
        <v>27</v>
      </c>
      <c r="D539" s="28" t="s">
        <v>35</v>
      </c>
      <c r="E539" s="28" t="s">
        <v>54</v>
      </c>
      <c r="F539" s="28" t="s">
        <v>46</v>
      </c>
      <c r="G539" s="28" t="s">
        <v>38</v>
      </c>
      <c r="H539" s="51" t="str">
        <f>HYPERLINK("https://innovativeincomeinvestor.com/security/tristate-capital-holdings-inc-6-375-fixed-to-floating-non-cumulative-perpetual-preferred-stock-series-b/","RJF-B")</f>
        <v>RJF-B</v>
      </c>
      <c r="I539" s="47">
        <v>6.3750000000000001E-2</v>
      </c>
      <c r="J539" s="65">
        <f ca="1">IFERROR(__xludf.DUMMYFUNCTION("GoogleFinance(H539)"),25.24)</f>
        <v>25.24</v>
      </c>
      <c r="K539" s="48">
        <f ca="1">IFERROR(__xludf.DUMMYFUNCTION("googlefinance(H539,""change"")"),0.04)</f>
        <v>0.04</v>
      </c>
      <c r="L539" s="27">
        <f t="shared" ref="L539:L544" ca="1" si="305">(Q539*4)/J539</f>
        <v>6.3074484944532494E-2</v>
      </c>
      <c r="M539" s="27">
        <f t="shared" ca="1" si="304"/>
        <v>5.1676527042714165E-2</v>
      </c>
      <c r="N539" s="28" t="s">
        <v>39</v>
      </c>
      <c r="O539" s="27" t="s">
        <v>32</v>
      </c>
      <c r="P539" s="28" t="s">
        <v>64</v>
      </c>
      <c r="Q539" s="29">
        <v>0.39800000000000002</v>
      </c>
      <c r="R539" s="64">
        <v>46204</v>
      </c>
      <c r="S539" s="54" t="s">
        <v>41</v>
      </c>
      <c r="T539" s="62" t="s">
        <v>74</v>
      </c>
      <c r="U539" s="16">
        <f t="shared" ca="1" si="285"/>
        <v>0.97534246575342465</v>
      </c>
      <c r="V539" s="11" t="str">
        <v>All</v>
      </c>
      <c r="X539">
        <f t="shared" ca="1" si="290"/>
        <v>5.3824892404809123E-2</v>
      </c>
      <c r="Z539" s="17">
        <f t="shared" ca="1" si="291"/>
        <v>46213</v>
      </c>
      <c r="AG539" s="33">
        <f t="shared" ca="1" si="292"/>
        <v>5.8628035468058885E-2</v>
      </c>
      <c r="AH539">
        <f t="shared" ca="1" si="293"/>
        <v>6.1503687600737281E-2</v>
      </c>
      <c r="AI539">
        <f t="shared" ca="1" si="294"/>
        <v>6.2047255094796437E-2</v>
      </c>
      <c r="AJ539">
        <f t="shared" ca="1" si="295"/>
        <v>6.2451113308951409E-2</v>
      </c>
      <c r="AK539">
        <f t="shared" ca="1" si="296"/>
        <v>6.2902193585835875E-2</v>
      </c>
    </row>
    <row r="540" spans="1:37" ht="17.25" customHeight="1">
      <c r="A540" s="19"/>
      <c r="B540" s="45" t="s">
        <v>429</v>
      </c>
      <c r="C540" s="28" t="s">
        <v>27</v>
      </c>
      <c r="D540" s="28" t="s">
        <v>27</v>
      </c>
      <c r="E540" s="28" t="s">
        <v>44</v>
      </c>
      <c r="F540" s="36" t="s">
        <v>29</v>
      </c>
      <c r="G540" s="28" t="s">
        <v>30</v>
      </c>
      <c r="H540" s="227" t="str">
        <f>HYPERLINK("https://innovativeincomeinvestor.com/security/ready-capital-corporation-6-20-senior-notes-due-2026/","RCB")</f>
        <v>RCB</v>
      </c>
      <c r="I540" s="47">
        <v>6.2E-2</v>
      </c>
      <c r="J540" s="26">
        <f ca="1">IFERROR(__xludf.DUMMYFUNCTION("GOOGLEFINANCE(H540)"),24.41)</f>
        <v>24.41</v>
      </c>
      <c r="K540" s="26">
        <f ca="1">IFERROR(__xludf.DUMMYFUNCTION("GOOGLEFINANCE(H540,""change"")"),0.03)</f>
        <v>0.03</v>
      </c>
      <c r="L540" s="27">
        <f t="shared" ca="1" si="305"/>
        <v>6.3580499795165918E-2</v>
      </c>
      <c r="M540" s="97">
        <f t="shared" ref="M540:M541" ca="1" si="306">(25-J540)/25</f>
        <v>2.3599999999999996E-2</v>
      </c>
      <c r="N540" s="28" t="s">
        <v>31</v>
      </c>
      <c r="O540" s="27" t="s">
        <v>32</v>
      </c>
      <c r="P540" s="27" t="s">
        <v>32</v>
      </c>
      <c r="Q540" s="29">
        <v>0.38800000000000001</v>
      </c>
      <c r="R540" s="64">
        <v>44772</v>
      </c>
      <c r="S540" s="64">
        <v>46233</v>
      </c>
      <c r="T540" s="62" t="s">
        <v>45</v>
      </c>
      <c r="U540" s="16">
        <f t="shared" ca="1" si="285"/>
        <v>-2.9479452054794519</v>
      </c>
      <c r="V540" s="11" t="str">
        <v>All</v>
      </c>
      <c r="X540">
        <f t="shared" ca="1" si="290"/>
        <v>8.6895479286688296E-2</v>
      </c>
      <c r="Z540" s="17">
        <f t="shared" ca="1" si="291"/>
        <v>46213</v>
      </c>
      <c r="AG540" s="33">
        <f t="shared" ca="1" si="292"/>
        <v>7.4814627791201113E-2</v>
      </c>
      <c r="AH540">
        <f t="shared" ca="1" si="293"/>
        <v>6.7604271496728541E-2</v>
      </c>
      <c r="AI540">
        <f t="shared" ca="1" si="294"/>
        <v>6.624279536452253E-2</v>
      </c>
      <c r="AJ540">
        <f t="shared" ca="1" si="295"/>
        <v>6.5232275637004247E-2</v>
      </c>
      <c r="AK540">
        <f t="shared" ca="1" si="296"/>
        <v>6.4102164282435078E-2</v>
      </c>
    </row>
    <row r="541" spans="1:37" ht="17.25" customHeight="1">
      <c r="A541" s="19"/>
      <c r="B541" s="45" t="s">
        <v>429</v>
      </c>
      <c r="C541" s="28" t="s">
        <v>27</v>
      </c>
      <c r="D541" s="28" t="s">
        <v>27</v>
      </c>
      <c r="E541" s="28" t="s">
        <v>44</v>
      </c>
      <c r="F541" s="36" t="s">
        <v>29</v>
      </c>
      <c r="G541" s="28" t="s">
        <v>30</v>
      </c>
      <c r="H541" s="55" t="str">
        <f>HYPERLINK("https://innovativeincomeinvestor.com/security/ready-capital-corporation-5-75-senior-notes-due-2026-2/","RCC")</f>
        <v>RCC</v>
      </c>
      <c r="I541" s="47">
        <v>5.7500000000000002E-2</v>
      </c>
      <c r="J541" s="26">
        <f ca="1">IFERROR(__xludf.DUMMYFUNCTION("GOOGLEFINANCE(H541)"),24.68)</f>
        <v>24.68</v>
      </c>
      <c r="K541" s="26">
        <f ca="1">IFERROR(__xludf.DUMMYFUNCTION("GOOGLEFINANCE(H541,""change"")"),-0.03)</f>
        <v>-0.03</v>
      </c>
      <c r="L541" s="27">
        <f t="shared" ca="1" si="305"/>
        <v>5.834683954619125E-2</v>
      </c>
      <c r="M541" s="200">
        <f t="shared" ca="1" si="306"/>
        <v>1.2800000000000011E-2</v>
      </c>
      <c r="N541" s="28" t="s">
        <v>31</v>
      </c>
      <c r="O541" s="27" t="s">
        <v>32</v>
      </c>
      <c r="P541" s="27" t="s">
        <v>32</v>
      </c>
      <c r="Q541" s="29">
        <v>0.36</v>
      </c>
      <c r="R541" s="64">
        <v>44972</v>
      </c>
      <c r="S541" s="64">
        <v>46068</v>
      </c>
      <c r="T541" s="62" t="s">
        <v>45</v>
      </c>
      <c r="U541" s="16">
        <f t="shared" ca="1" si="285"/>
        <v>-2.4</v>
      </c>
      <c r="V541" s="11" t="str">
        <v>All</v>
      </c>
      <c r="X541">
        <f t="shared" ca="1" si="290"/>
        <v>7.0871954052673519E-2</v>
      </c>
      <c r="Z541" s="17">
        <f t="shared" ca="1" si="291"/>
        <v>46213</v>
      </c>
      <c r="AG541" s="33">
        <f t="shared" ca="1" si="292"/>
        <v>6.4372109441274097E-2</v>
      </c>
      <c r="AH541">
        <f t="shared" ca="1" si="293"/>
        <v>6.0486908506403099E-2</v>
      </c>
      <c r="AI541">
        <f t="shared" ca="1" si="294"/>
        <v>5.9752029566769137E-2</v>
      </c>
      <c r="AJ541">
        <f t="shared" ca="1" si="295"/>
        <v>5.9205661356452596E-2</v>
      </c>
      <c r="AK541">
        <f t="shared" ca="1" si="296"/>
        <v>5.859070536265068E-2</v>
      </c>
    </row>
    <row r="542" spans="1:37" ht="17.25" customHeight="1">
      <c r="A542" s="19"/>
      <c r="B542" s="45" t="s">
        <v>429</v>
      </c>
      <c r="C542" s="28" t="s">
        <v>35</v>
      </c>
      <c r="D542" s="28" t="s">
        <v>27</v>
      </c>
      <c r="E542" s="28" t="s">
        <v>44</v>
      </c>
      <c r="F542" s="28" t="s">
        <v>29</v>
      </c>
      <c r="G542" s="28" t="s">
        <v>38</v>
      </c>
      <c r="H542" s="46" t="str">
        <f>HYPERLINK("$25.48","RC-E")</f>
        <v>RC-E</v>
      </c>
      <c r="I542" s="47">
        <v>6.5000000000000002E-2</v>
      </c>
      <c r="J542" s="65">
        <f ca="1">IFERROR(__xludf.DUMMYFUNCTION("GoogleFinance(H542)"),15.23)</f>
        <v>15.23</v>
      </c>
      <c r="K542" s="26">
        <f ca="1">IFERROR(__xludf.DUMMYFUNCTION("GOOGLEFINANCE(H542,""change"")"),-0.12)</f>
        <v>-0.12</v>
      </c>
      <c r="L542" s="27">
        <f t="shared" ca="1" si="305"/>
        <v>0.10768220617202888</v>
      </c>
      <c r="M542" s="108">
        <f t="shared" ref="M542:M543" ca="1" si="307">L542*U542+(25-J542)/25/U542</f>
        <v>0.52462862880929007</v>
      </c>
      <c r="N542" s="28" t="s">
        <v>31</v>
      </c>
      <c r="O542" s="27" t="s">
        <v>32</v>
      </c>
      <c r="P542" s="27" t="s">
        <v>32</v>
      </c>
      <c r="Q542" s="29">
        <v>0.41</v>
      </c>
      <c r="R542" s="64">
        <v>46183</v>
      </c>
      <c r="S542" s="28" t="s">
        <v>41</v>
      </c>
      <c r="T542" s="62" t="s">
        <v>79</v>
      </c>
      <c r="U542" s="16">
        <f t="shared" ca="1" si="285"/>
        <v>0.9178082191780822</v>
      </c>
      <c r="V542" s="11" t="str">
        <v>All</v>
      </c>
      <c r="X542">
        <f t="shared" ca="1" si="290"/>
        <v>0.61734459647838047</v>
      </c>
      <c r="Z542" s="17">
        <f t="shared" ca="1" si="291"/>
        <v>46213</v>
      </c>
      <c r="AG542" s="33">
        <f t="shared" ca="1" si="292"/>
        <v>0.3429791086606927</v>
      </c>
      <c r="AH542">
        <f t="shared" ca="1" si="293"/>
        <v>0.18705718351716766</v>
      </c>
      <c r="AI542">
        <f t="shared" ca="1" si="294"/>
        <v>0.1584267102511735</v>
      </c>
      <c r="AJ542">
        <f t="shared" ca="1" si="295"/>
        <v>0.13751431551649249</v>
      </c>
      <c r="AK542">
        <f t="shared" ca="1" si="296"/>
        <v>0.1152094359897044</v>
      </c>
    </row>
    <row r="543" spans="1:37" ht="17.25" customHeight="1">
      <c r="A543" s="19"/>
      <c r="B543" s="45" t="s">
        <v>429</v>
      </c>
      <c r="C543" s="36" t="s">
        <v>27</v>
      </c>
      <c r="D543" s="36" t="s">
        <v>27</v>
      </c>
      <c r="E543" s="36" t="s">
        <v>44</v>
      </c>
      <c r="F543" s="36" t="s">
        <v>29</v>
      </c>
      <c r="G543" s="28" t="s">
        <v>30</v>
      </c>
      <c r="H543" s="66" t="str">
        <f>HYPERLINK("https://innovativeincomeinvestor.com/security/ready-capital-9-senior-notes-due-2029/","RCD")</f>
        <v>RCD</v>
      </c>
      <c r="I543" s="47">
        <v>0.09</v>
      </c>
      <c r="J543" s="150">
        <f ca="1">IFERROR(__xludf.DUMMYFUNCTION("importxml(""https://bigcharts.marketwatch.com/quickchart/quickchart.asp?symb=rcd&amp;insttype=Stock"",""/html/body/div[1]/div[2]/table/tbody/tr/td[1]/table/tbody/tr[3]/td[1]/div"")"),22.98)</f>
        <v>22.98</v>
      </c>
      <c r="K543" s="26">
        <f ca="1">IFERROR(__xludf.DUMMYFUNCTION("GOOGLEFINANCE(H543,""change"")"),-0.09)</f>
        <v>-0.09</v>
      </c>
      <c r="L543" s="27">
        <f t="shared" ca="1" si="305"/>
        <v>9.7998259355961695E-2</v>
      </c>
      <c r="M543" s="27">
        <f t="shared" ca="1" si="307"/>
        <v>0.19680948104128887</v>
      </c>
      <c r="N543" s="28" t="s">
        <v>31</v>
      </c>
      <c r="O543" s="27" t="s">
        <v>32</v>
      </c>
      <c r="P543" s="27" t="s">
        <v>32</v>
      </c>
      <c r="Q543" s="29">
        <v>0.56299999999999994</v>
      </c>
      <c r="R543" s="64">
        <v>46371</v>
      </c>
      <c r="S543" s="82">
        <v>47467</v>
      </c>
      <c r="T543" s="62" t="s">
        <v>430</v>
      </c>
      <c r="U543" s="16">
        <f t="shared" ca="1" si="285"/>
        <v>1.4328767123287671</v>
      </c>
      <c r="V543" s="11" t="str">
        <v>All</v>
      </c>
      <c r="X543">
        <f t="shared" ca="1" si="290"/>
        <v>0.18009495060506647</v>
      </c>
      <c r="Z543" s="17">
        <f t="shared" ca="1" si="291"/>
        <v>46213</v>
      </c>
      <c r="AG543" s="33">
        <f t="shared" ca="1" si="292"/>
        <v>0.13686434603860789</v>
      </c>
      <c r="AH543">
        <f t="shared" ca="1" si="293"/>
        <v>0.11129748925361528</v>
      </c>
      <c r="AI543">
        <f t="shared" ca="1" si="294"/>
        <v>0.10653049752585701</v>
      </c>
      <c r="AJ543">
        <f t="shared" ca="1" si="295"/>
        <v>0.10304378668982309</v>
      </c>
      <c r="AK543">
        <f t="shared" ca="1" si="296"/>
        <v>9.9339156749131866E-2</v>
      </c>
    </row>
    <row r="544" spans="1:37" ht="17.25" customHeight="1">
      <c r="A544" s="19"/>
      <c r="B544" s="45" t="s">
        <v>431</v>
      </c>
      <c r="C544" s="28" t="s">
        <v>35</v>
      </c>
      <c r="D544" s="28" t="s">
        <v>27</v>
      </c>
      <c r="E544" s="28" t="s">
        <v>44</v>
      </c>
      <c r="F544" s="28" t="s">
        <v>29</v>
      </c>
      <c r="G544" s="28" t="s">
        <v>317</v>
      </c>
      <c r="H544" s="51" t="str">
        <f>HYPERLINK("https://innovativeincomeinvestor.com/security/anworth-mortgage-asset-corp/","RC-C")</f>
        <v>RC-C</v>
      </c>
      <c r="I544" s="47">
        <v>6.25E-2</v>
      </c>
      <c r="J544" s="65">
        <f ca="1">IFERROR(__xludf.DUMMYFUNCTION("GoogleFinance(H544)"),15.5)</f>
        <v>15.5</v>
      </c>
      <c r="K544" s="67">
        <f ca="1">IFERROR(__xludf.DUMMYFUNCTION("googlefinance(H544,""change"")"),-0.49)</f>
        <v>-0.49</v>
      </c>
      <c r="L544" s="27">
        <f t="shared" ca="1" si="305"/>
        <v>0.10080645161290322</v>
      </c>
      <c r="M544" s="27">
        <f ca="1">(25-J544)/25</f>
        <v>0.38</v>
      </c>
      <c r="N544" s="28" t="s">
        <v>31</v>
      </c>
      <c r="O544" s="28" t="s">
        <v>32</v>
      </c>
      <c r="P544" s="28" t="s">
        <v>32</v>
      </c>
      <c r="Q544" s="29">
        <f t="shared" ref="Q544:Q545" si="308">(I544*25)/4</f>
        <v>0.390625</v>
      </c>
      <c r="R544" s="64">
        <v>40933</v>
      </c>
      <c r="S544" s="54" t="s">
        <v>41</v>
      </c>
      <c r="T544" s="62" t="s">
        <v>60</v>
      </c>
      <c r="U544" s="16">
        <f t="shared" ca="1" si="285"/>
        <v>-13.465753424657533</v>
      </c>
      <c r="V544" s="11" t="str">
        <v>All</v>
      </c>
      <c r="X544">
        <f t="shared" ca="1" si="290"/>
        <v>0.59302707575385394</v>
      </c>
      <c r="Z544" s="17">
        <f t="shared" ca="1" si="291"/>
        <v>46213</v>
      </c>
      <c r="AG544" s="33">
        <f t="shared" ca="1" si="292"/>
        <v>0.32935456170327859</v>
      </c>
      <c r="AH544">
        <f t="shared" ca="1" si="293"/>
        <v>0.17918487255303883</v>
      </c>
      <c r="AI544">
        <f t="shared" ca="1" si="294"/>
        <v>0.1515498921239615</v>
      </c>
      <c r="AJ544">
        <f t="shared" ca="1" si="295"/>
        <v>0.13131767472492678</v>
      </c>
      <c r="AK544">
        <f t="shared" ca="1" si="296"/>
        <v>0.10955599895298426</v>
      </c>
    </row>
    <row r="545" spans="1:37" ht="17.25" customHeight="1">
      <c r="A545" s="19"/>
      <c r="B545" s="45" t="s">
        <v>432</v>
      </c>
      <c r="C545" s="36" t="s">
        <v>35</v>
      </c>
      <c r="D545" s="36" t="s">
        <v>27</v>
      </c>
      <c r="E545" s="36" t="s">
        <v>63</v>
      </c>
      <c r="F545" s="36" t="s">
        <v>29</v>
      </c>
      <c r="G545" s="28" t="s">
        <v>38</v>
      </c>
      <c r="H545" s="94" t="str">
        <f>HYPERLINK("https://innovativeincomeinvestor.com/security/spirit-realty-capital-6-0-series-a-cumulative-redeemable-preferred-stock/","O-")</f>
        <v>O-</v>
      </c>
      <c r="I545" s="47">
        <v>0.06</v>
      </c>
      <c r="J545" s="79" t="s">
        <v>68</v>
      </c>
      <c r="K545" s="169" t="s">
        <v>68</v>
      </c>
      <c r="L545" s="88" t="s">
        <v>68</v>
      </c>
      <c r="M545" s="88" t="s">
        <v>68</v>
      </c>
      <c r="N545" s="28" t="s">
        <v>31</v>
      </c>
      <c r="O545" s="28" t="s">
        <v>30</v>
      </c>
      <c r="P545" s="28" t="s">
        <v>83</v>
      </c>
      <c r="Q545" s="29">
        <f t="shared" si="308"/>
        <v>0.375</v>
      </c>
      <c r="R545" s="64">
        <v>44837</v>
      </c>
      <c r="S545" s="54" t="s">
        <v>41</v>
      </c>
      <c r="T545" s="62" t="s">
        <v>42</v>
      </c>
      <c r="U545" s="16">
        <f t="shared" ca="1" si="285"/>
        <v>-2.7698630136986302</v>
      </c>
      <c r="V545" s="11" t="str">
        <v>All</v>
      </c>
      <c r="X545" t="e">
        <f t="shared" ca="1" si="290"/>
        <v>#VALUE!</v>
      </c>
      <c r="Z545" s="17">
        <f t="shared" ca="1" si="291"/>
        <v>46213</v>
      </c>
      <c r="AG545" s="33" t="e">
        <f t="shared" ca="1" si="292"/>
        <v>#VALUE!</v>
      </c>
      <c r="AH545" t="e">
        <f t="shared" ca="1" si="293"/>
        <v>#VALUE!</v>
      </c>
      <c r="AI545" t="e">
        <f t="shared" ca="1" si="294"/>
        <v>#VALUE!</v>
      </c>
      <c r="AJ545" t="e">
        <f t="shared" ca="1" si="295"/>
        <v>#VALUE!</v>
      </c>
      <c r="AK545" t="e">
        <f t="shared" ca="1" si="296"/>
        <v>#VALUE!</v>
      </c>
    </row>
    <row r="546" spans="1:37" ht="17.25" customHeight="1">
      <c r="A546" s="19"/>
      <c r="B546" s="45" t="s">
        <v>433</v>
      </c>
      <c r="C546" s="28" t="s">
        <v>35</v>
      </c>
      <c r="D546" s="28" t="s">
        <v>27</v>
      </c>
      <c r="E546" s="28" t="s">
        <v>44</v>
      </c>
      <c r="F546" s="28" t="s">
        <v>29</v>
      </c>
      <c r="G546" s="28" t="s">
        <v>61</v>
      </c>
      <c r="H546" s="23" t="str">
        <f>HYPERLINK("https://innovativeincomeinvestor.com/security/redwood-trust-inc-10-00-series-a-fixed-rate-reset-cumulative-redeemable-preferred-stock/","RWT-A")</f>
        <v>RWT-A</v>
      </c>
      <c r="I546" s="47">
        <v>0.1</v>
      </c>
      <c r="J546" s="56">
        <f ca="1">IFERROR(__xludf.DUMMYFUNCTION("IMPORTXML(""https://bigcharts.marketwatch.com/quickchart/quickchart.asp?symb=RWTPRA&amp;insttype=Stock"",""html/body/div[1]/div[2]/table/tbody/tr/td[1]/table/tbody/tr[3]/td[1]/div"")"),25.1317)</f>
        <v>25.131699999999999</v>
      </c>
      <c r="K546" s="128" t="str">
        <f ca="1">IFERROR(__xludf.DUMMYFUNCTION("GOOGLEFINANCE(H546,""change"")"),"#N/A")</f>
        <v>#N/A</v>
      </c>
      <c r="L546" s="108">
        <f t="shared" ref="L546:L552" ca="1" si="309">(Q546*4)/J546</f>
        <v>9.9475960639351893E-2</v>
      </c>
      <c r="M546" s="108">
        <f t="shared" ref="M546:M550" ca="1" si="310">L546*U546+(25-J546)/25/U546</f>
        <v>0.27335846507039979</v>
      </c>
      <c r="N546" s="28" t="s">
        <v>31</v>
      </c>
      <c r="O546" s="27" t="s">
        <v>32</v>
      </c>
      <c r="P546" s="27" t="s">
        <v>32</v>
      </c>
      <c r="Q546" s="29">
        <v>0.625</v>
      </c>
      <c r="R546" s="53">
        <v>46858</v>
      </c>
      <c r="S546" s="54" t="s">
        <v>41</v>
      </c>
      <c r="T546" s="62" t="s">
        <v>60</v>
      </c>
      <c r="U546" s="16">
        <f t="shared" ca="1" si="285"/>
        <v>2.7671232876712328</v>
      </c>
      <c r="V546" s="11" t="str">
        <v>All</v>
      </c>
      <c r="X546">
        <f t="shared" ca="1" si="290"/>
        <v>9.441750461526599E-2</v>
      </c>
      <c r="Z546" s="17">
        <f t="shared" ca="1" si="291"/>
        <v>46213</v>
      </c>
      <c r="AG546" s="33">
        <f t="shared" ca="1" si="292"/>
        <v>9.7070314825920739E-2</v>
      </c>
      <c r="AH546">
        <f t="shared" ca="1" si="293"/>
        <v>9.8651159492808255E-2</v>
      </c>
      <c r="AI546">
        <f t="shared" ca="1" si="294"/>
        <v>9.8946141095774792E-2</v>
      </c>
      <c r="AJ546">
        <f t="shared" ca="1" si="295"/>
        <v>9.9162202984689057E-2</v>
      </c>
      <c r="AK546">
        <f t="shared" ca="1" si="296"/>
        <v>9.9388933578783284E-2</v>
      </c>
    </row>
    <row r="547" spans="1:37" ht="17.25" customHeight="1">
      <c r="A547" s="19"/>
      <c r="B547" s="45" t="s">
        <v>433</v>
      </c>
      <c r="C547" s="28" t="s">
        <v>27</v>
      </c>
      <c r="D547" s="28" t="s">
        <v>27</v>
      </c>
      <c r="E547" s="28" t="s">
        <v>44</v>
      </c>
      <c r="F547" s="28" t="s">
        <v>29</v>
      </c>
      <c r="G547" s="28" t="s">
        <v>30</v>
      </c>
      <c r="H547" s="23" t="str">
        <f>HYPERLINK("https://innovativeincomeinvestor.com/security/redwood-trust-9-125-senior-notes-due-2029/","RWTN")</f>
        <v>RWTN</v>
      </c>
      <c r="I547" s="47">
        <v>9.1249999999999998E-2</v>
      </c>
      <c r="J547" s="25">
        <f ca="1">IFERROR(__xludf.DUMMYFUNCTION("GoogleFinance(H547)"),24.72)</f>
        <v>24.72</v>
      </c>
      <c r="K547" s="26">
        <f ca="1">IFERROR(__xludf.DUMMYFUNCTION("GOOGLEFINANCE(H547,""change"")"),-0.08)</f>
        <v>-0.08</v>
      </c>
      <c r="L547" s="27">
        <f t="shared" ca="1" si="309"/>
        <v>9.2233009708737865E-2</v>
      </c>
      <c r="M547" s="27">
        <f t="shared" ca="1" si="310"/>
        <v>7.6600288954591464E-2</v>
      </c>
      <c r="N547" s="28" t="s">
        <v>31</v>
      </c>
      <c r="O547" s="28" t="s">
        <v>32</v>
      </c>
      <c r="P547" s="28" t="s">
        <v>32</v>
      </c>
      <c r="Q547" s="29">
        <v>0.56999999999999995</v>
      </c>
      <c r="R547" s="53">
        <v>46082</v>
      </c>
      <c r="S547" s="61">
        <v>47178</v>
      </c>
      <c r="T547" s="62" t="s">
        <v>81</v>
      </c>
      <c r="U547" s="16">
        <f t="shared" ca="1" si="285"/>
        <v>0.64109589041095894</v>
      </c>
      <c r="V547" s="11" t="str">
        <v>All</v>
      </c>
      <c r="X547">
        <f t="shared" ca="1" si="290"/>
        <v>0.10318146606283403</v>
      </c>
      <c r="Z547" s="17">
        <f t="shared" ca="1" si="291"/>
        <v>46213</v>
      </c>
      <c r="AG547" s="33">
        <f t="shared" ca="1" si="292"/>
        <v>9.7481373517168957E-2</v>
      </c>
      <c r="AH547">
        <f t="shared" ca="1" si="293"/>
        <v>9.408430010417973E-2</v>
      </c>
      <c r="AI547">
        <f t="shared" ca="1" si="294"/>
        <v>9.3448056134889074E-2</v>
      </c>
      <c r="AJ547">
        <f t="shared" ca="1" si="295"/>
        <v>9.2982044487789836E-2</v>
      </c>
      <c r="AK547">
        <f t="shared" ca="1" si="296"/>
        <v>9.2482840375170558E-2</v>
      </c>
    </row>
    <row r="548" spans="1:37" ht="17.25" customHeight="1">
      <c r="A548" s="19"/>
      <c r="B548" s="45" t="s">
        <v>433</v>
      </c>
      <c r="C548" s="28" t="s">
        <v>27</v>
      </c>
      <c r="D548" s="28" t="s">
        <v>27</v>
      </c>
      <c r="E548" s="28" t="s">
        <v>44</v>
      </c>
      <c r="F548" s="28" t="s">
        <v>29</v>
      </c>
      <c r="G548" s="28" t="s">
        <v>30</v>
      </c>
      <c r="H548" s="23" t="str">
        <f>HYPERLINK("https://innovativeincomeinvestor.com/security/redwood-trust-inc-9-00-senior-notes-due-2029/","RWTO")</f>
        <v>RWTO</v>
      </c>
      <c r="I548" s="47">
        <v>0.09</v>
      </c>
      <c r="J548" s="65">
        <f ca="1">IFERROR(__xludf.DUMMYFUNCTION("GoogleFinance(H548)"),24.51)</f>
        <v>24.51</v>
      </c>
      <c r="K548" s="26">
        <f ca="1">IFERROR(__xludf.DUMMYFUNCTION("GOOGLEFINANCE(H548,""change"")"),0.01)</f>
        <v>0.01</v>
      </c>
      <c r="L548" s="27">
        <f t="shared" ca="1" si="309"/>
        <v>9.1799265605875147E-2</v>
      </c>
      <c r="M548" s="27">
        <f t="shared" ca="1" si="310"/>
        <v>0.12224385451740788</v>
      </c>
      <c r="N548" s="28" t="s">
        <v>31</v>
      </c>
      <c r="O548" s="28" t="s">
        <v>32</v>
      </c>
      <c r="P548" s="28" t="s">
        <v>32</v>
      </c>
      <c r="Q548" s="29">
        <v>0.5625</v>
      </c>
      <c r="R548" s="53">
        <v>46266</v>
      </c>
      <c r="S548" s="61">
        <v>47362</v>
      </c>
      <c r="T548" s="62" t="s">
        <v>81</v>
      </c>
      <c r="U548" s="16">
        <f t="shared" ca="1" si="285"/>
        <v>1.1452054794520548</v>
      </c>
      <c r="V548" s="11" t="str">
        <v>All</v>
      </c>
      <c r="X548">
        <f t="shared" ca="1" si="290"/>
        <v>0.11097807973339607</v>
      </c>
      <c r="Z548" s="17">
        <f t="shared" ca="1" si="291"/>
        <v>46213</v>
      </c>
      <c r="AG548" s="33">
        <f t="shared" ca="1" si="292"/>
        <v>0.1009452601485675</v>
      </c>
      <c r="AH548">
        <f t="shared" ca="1" si="293"/>
        <v>9.4971034308475241E-2</v>
      </c>
      <c r="AI548">
        <f t="shared" ca="1" si="294"/>
        <v>9.3852388837569481E-2</v>
      </c>
      <c r="AJ548">
        <f t="shared" ca="1" si="295"/>
        <v>9.3032399637263938E-2</v>
      </c>
      <c r="AK548">
        <f t="shared" ca="1" si="296"/>
        <v>9.2153602122679548E-2</v>
      </c>
    </row>
    <row r="549" spans="1:37" ht="17.25" customHeight="1">
      <c r="A549" s="19"/>
      <c r="B549" s="45" t="s">
        <v>433</v>
      </c>
      <c r="C549" s="28" t="s">
        <v>27</v>
      </c>
      <c r="D549" s="28" t="s">
        <v>27</v>
      </c>
      <c r="E549" s="28" t="s">
        <v>44</v>
      </c>
      <c r="F549" s="28" t="s">
        <v>29</v>
      </c>
      <c r="G549" s="28" t="s">
        <v>30</v>
      </c>
      <c r="H549" s="51" t="str">
        <f>HYPERLINK("https://innovativeincomeinvestor.com/security/redwood-trust-inc-9-125-senior-notes-due-2030/","RWTP")</f>
        <v>RWTP</v>
      </c>
      <c r="I549" s="47">
        <v>9.1249999999999998E-2</v>
      </c>
      <c r="J549" s="65">
        <f ca="1">IFERROR(__xludf.DUMMYFUNCTION("GoogleFinance(H549)"),24.3)</f>
        <v>24.3</v>
      </c>
      <c r="K549" s="26">
        <f ca="1">IFERROR(__xludf.DUMMYFUNCTION("GOOGLEFINANCE(H549,""change"")"),-0.05)</f>
        <v>-0.05</v>
      </c>
      <c r="L549" s="27">
        <f t="shared" ca="1" si="309"/>
        <v>9.3827160493827153E-2</v>
      </c>
      <c r="M549" s="27">
        <f t="shared" ca="1" si="310"/>
        <v>0.17104113711137592</v>
      </c>
      <c r="N549" s="28" t="s">
        <v>31</v>
      </c>
      <c r="O549" s="28" t="s">
        <v>32</v>
      </c>
      <c r="P549" s="28" t="s">
        <v>32</v>
      </c>
      <c r="Q549" s="29">
        <v>0.56999999999999995</v>
      </c>
      <c r="R549" s="53">
        <v>46447</v>
      </c>
      <c r="S549" s="61">
        <v>47543</v>
      </c>
      <c r="T549" s="62" t="s">
        <v>81</v>
      </c>
      <c r="U549" s="16">
        <f t="shared" ca="1" si="285"/>
        <v>1.6410958904109589</v>
      </c>
      <c r="V549" s="11" t="str">
        <v>All</v>
      </c>
      <c r="X549">
        <f t="shared" ca="1" si="290"/>
        <v>0.12140636641081418</v>
      </c>
      <c r="Z549" s="17">
        <f t="shared" ca="1" si="291"/>
        <v>46213</v>
      </c>
      <c r="AG549" s="33">
        <f t="shared" ca="1" si="292"/>
        <v>0.10698689453453772</v>
      </c>
      <c r="AH549">
        <f t="shared" ca="1" si="293"/>
        <v>9.8409840611174734E-2</v>
      </c>
      <c r="AI549">
        <f t="shared" ca="1" si="294"/>
        <v>9.6805537497587565E-2</v>
      </c>
      <c r="AJ549">
        <f t="shared" ca="1" si="295"/>
        <v>9.5630519536783767E-2</v>
      </c>
      <c r="AK549">
        <f t="shared" ca="1" si="296"/>
        <v>9.4375708723810403E-2</v>
      </c>
    </row>
    <row r="550" spans="1:37" ht="17.25" customHeight="1">
      <c r="A550" s="19"/>
      <c r="B550" s="45" t="s">
        <v>434</v>
      </c>
      <c r="C550" s="28" t="s">
        <v>35</v>
      </c>
      <c r="D550" s="28" t="s">
        <v>27</v>
      </c>
      <c r="E550" s="28" t="s">
        <v>63</v>
      </c>
      <c r="F550" s="28" t="s">
        <v>29</v>
      </c>
      <c r="G550" s="28" t="s">
        <v>38</v>
      </c>
      <c r="H550" s="208" t="str">
        <f>HYPERLINK("https://innovativeincomeinvestor.com/security/urstadt-biddle-properties-inc-5-875-series-k-cumulative-redeemable-preferred-stock/","REGCO")</f>
        <v>REGCO</v>
      </c>
      <c r="I550" s="47">
        <v>5.8749999999999997E-2</v>
      </c>
      <c r="J550" s="65">
        <f ca="1">IFERROR(__xludf.DUMMYFUNCTION("GoogleFinance(H550)"),22.6)</f>
        <v>22.6</v>
      </c>
      <c r="K550" s="26">
        <f ca="1">IFERROR(__xludf.DUMMYFUNCTION("GOOGLEFINANCE(H550,""change"")"),-0.05)</f>
        <v>-0.05</v>
      </c>
      <c r="L550" s="27">
        <f t="shared" ca="1" si="309"/>
        <v>6.5486725663716813E-2</v>
      </c>
      <c r="M550" s="27">
        <f t="shared" ca="1" si="310"/>
        <v>-0.17485054281241044</v>
      </c>
      <c r="N550" s="28" t="s">
        <v>31</v>
      </c>
      <c r="O550" s="27" t="s">
        <v>32</v>
      </c>
      <c r="P550" s="27" t="s">
        <v>32</v>
      </c>
      <c r="Q550" s="29">
        <v>0.37</v>
      </c>
      <c r="R550" s="53">
        <v>45566</v>
      </c>
      <c r="S550" s="54" t="s">
        <v>41</v>
      </c>
      <c r="T550" s="62" t="s">
        <v>79</v>
      </c>
      <c r="U550" s="16">
        <f t="shared" ca="1" si="285"/>
        <v>-0.77260273972602744</v>
      </c>
      <c r="V550" s="11" t="str">
        <v>All</v>
      </c>
      <c r="X550">
        <f t="shared" ca="1" si="290"/>
        <v>0.1648400130696141</v>
      </c>
      <c r="Z550" s="17">
        <f t="shared" ca="1" si="291"/>
        <v>46213</v>
      </c>
      <c r="AG550" s="33">
        <f t="shared" ca="1" si="292"/>
        <v>0.11305321578334397</v>
      </c>
      <c r="AH550">
        <f t="shared" ca="1" si="293"/>
        <v>8.2379438380480619E-2</v>
      </c>
      <c r="AI550">
        <f t="shared" ca="1" si="294"/>
        <v>7.660649994022338E-2</v>
      </c>
      <c r="AJ550">
        <f t="shared" ca="1" si="295"/>
        <v>7.2324056058442901E-2</v>
      </c>
      <c r="AK550">
        <f t="shared" ca="1" si="296"/>
        <v>6.7537483234666712E-2</v>
      </c>
    </row>
    <row r="551" spans="1:37" ht="17.25" customHeight="1">
      <c r="A551" s="19"/>
      <c r="B551" s="45" t="s">
        <v>434</v>
      </c>
      <c r="C551" s="28" t="s">
        <v>35</v>
      </c>
      <c r="D551" s="28" t="s">
        <v>27</v>
      </c>
      <c r="E551" s="28" t="s">
        <v>63</v>
      </c>
      <c r="F551" s="28" t="s">
        <v>29</v>
      </c>
      <c r="G551" s="28" t="s">
        <v>38</v>
      </c>
      <c r="H551" s="208" t="str">
        <f>HYPERLINK("https://innovativeincomeinvestor.com/security/urstadt-biddle-properties-6-25-series-h-cumulative-redeemable-preferred-stock/","REGCP")</f>
        <v>REGCP</v>
      </c>
      <c r="I551" s="47">
        <v>6.25E-2</v>
      </c>
      <c r="J551" s="65">
        <f ca="1">IFERROR(__xludf.DUMMYFUNCTION("GoogleFinance(H551)"),23.73)</f>
        <v>23.73</v>
      </c>
      <c r="K551" s="26">
        <f ca="1">IFERROR(__xludf.DUMMYFUNCTION("GOOGLEFINANCE(H551,""change"")"),0.01)</f>
        <v>0.01</v>
      </c>
      <c r="L551" s="27">
        <f t="shared" ca="1" si="309"/>
        <v>6.5739570164348921E-2</v>
      </c>
      <c r="M551" s="27">
        <f ca="1">(25-J551)/25</f>
        <v>5.0799999999999984E-2</v>
      </c>
      <c r="N551" s="28" t="s">
        <v>31</v>
      </c>
      <c r="O551" s="27" t="s">
        <v>32</v>
      </c>
      <c r="P551" s="27" t="s">
        <v>32</v>
      </c>
      <c r="Q551" s="29">
        <v>0.39</v>
      </c>
      <c r="R551" s="53">
        <v>44822</v>
      </c>
      <c r="S551" s="54" t="s">
        <v>41</v>
      </c>
      <c r="T551" s="62" t="s">
        <v>79</v>
      </c>
      <c r="U551" s="16">
        <f t="shared" ca="1" si="285"/>
        <v>-2.8109589041095893</v>
      </c>
      <c r="V551" s="11" t="str">
        <v>All</v>
      </c>
      <c r="X551">
        <f t="shared" ca="1" si="290"/>
        <v>0.11707059165273813</v>
      </c>
      <c r="Z551" s="17">
        <f t="shared" ca="1" si="291"/>
        <v>46213</v>
      </c>
      <c r="AG551" s="33">
        <f t="shared" ca="1" si="292"/>
        <v>9.0555158715842632E-2</v>
      </c>
      <c r="AH551">
        <f t="shared" ca="1" si="293"/>
        <v>7.4776234623271196E-2</v>
      </c>
      <c r="AI551">
        <f t="shared" ca="1" si="294"/>
        <v>7.1801792345034782E-2</v>
      </c>
      <c r="AJ551">
        <f t="shared" ca="1" si="295"/>
        <v>6.959581670810519E-2</v>
      </c>
      <c r="AK551">
        <f t="shared" ca="1" si="296"/>
        <v>6.7135110902433598E-2</v>
      </c>
    </row>
    <row r="552" spans="1:37" ht="17.25" customHeight="1">
      <c r="A552" s="68"/>
      <c r="B552" s="69" t="s">
        <v>435</v>
      </c>
      <c r="C552" s="28" t="s">
        <v>27</v>
      </c>
      <c r="D552" s="28" t="s">
        <v>35</v>
      </c>
      <c r="E552" s="28" t="s">
        <v>110</v>
      </c>
      <c r="F552" s="36" t="s">
        <v>29</v>
      </c>
      <c r="G552" s="28" t="s">
        <v>38</v>
      </c>
      <c r="H552" s="46" t="str">
        <f>HYPERLINK("https://innovativeincomeinvestor.com/security/regions-financial-4-45-non-cumulative-perpetual-preferred-stock-series-e/","RF-E")</f>
        <v>RF-E</v>
      </c>
      <c r="I552" s="47">
        <v>4.4499999999999998E-2</v>
      </c>
      <c r="J552" s="65">
        <f ca="1">IFERROR(__xludf.DUMMYFUNCTION("GoogleFinance(H552)"),17.53)</f>
        <v>17.53</v>
      </c>
      <c r="K552" s="67">
        <f ca="1">IFERROR(__xludf.DUMMYFUNCTION("googlefinance(H552,""change"")"),-0.14)</f>
        <v>-0.14000000000000001</v>
      </c>
      <c r="L552" s="27">
        <f t="shared" ca="1" si="309"/>
        <v>6.3890473474044501E-2</v>
      </c>
      <c r="M552" s="27">
        <f t="array" aca="1" ref="M552" ca="1">L552*U552+(25-J552)/25/U552</f>
        <v>0.38028500188234926</v>
      </c>
      <c r="N552" s="28" t="s">
        <v>39</v>
      </c>
      <c r="O552" s="28" t="s">
        <v>69</v>
      </c>
      <c r="P552" s="28" t="s">
        <v>64</v>
      </c>
      <c r="Q552" s="29">
        <v>0.28000000000000003</v>
      </c>
      <c r="R552" s="53">
        <v>46188</v>
      </c>
      <c r="S552" s="54" t="s">
        <v>41</v>
      </c>
      <c r="T552" s="62" t="s">
        <v>52</v>
      </c>
      <c r="U552" s="16">
        <f t="shared" ca="1" si="285"/>
        <v>0.93150684931506844</v>
      </c>
      <c r="V552" s="11" t="str">
        <v>All</v>
      </c>
      <c r="X552">
        <f t="shared" ca="1" si="290"/>
        <v>0.42709378653003083</v>
      </c>
      <c r="Z552" s="17">
        <f t="shared" ca="1" si="291"/>
        <v>46213</v>
      </c>
      <c r="AG552" s="33">
        <f t="shared" ca="1" si="292"/>
        <v>0.236258197377573</v>
      </c>
      <c r="AH552">
        <f t="shared" ca="1" si="293"/>
        <v>0.12598354499251804</v>
      </c>
      <c r="AI552">
        <f t="shared" ca="1" si="294"/>
        <v>0.10542373794420644</v>
      </c>
      <c r="AJ552">
        <f t="shared" ca="1" si="295"/>
        <v>9.0180267947317372E-2</v>
      </c>
      <c r="AK552">
        <f t="shared" ca="1" si="296"/>
        <v>7.3042149012441188E-2</v>
      </c>
    </row>
    <row r="553" spans="1:37" ht="17.25" customHeight="1">
      <c r="A553" s="19"/>
      <c r="B553" s="45" t="s">
        <v>435</v>
      </c>
      <c r="C553" s="28" t="s">
        <v>27</v>
      </c>
      <c r="D553" s="28" t="s">
        <v>35</v>
      </c>
      <c r="E553" s="28" t="s">
        <v>110</v>
      </c>
      <c r="F553" s="28" t="s">
        <v>46</v>
      </c>
      <c r="G553" s="28" t="s">
        <v>38</v>
      </c>
      <c r="H553" s="51" t="str">
        <f>HYPERLINK("https://innovativeincomeinvestor.com/security/regions-financial-corp-6-375-dep-sh-fixfoat-non-cumul-preferred-stock-ser-b/","RF-B")</f>
        <v>RF-B</v>
      </c>
      <c r="I553" s="47">
        <v>6.3750000000000001E-2</v>
      </c>
      <c r="J553" s="79" t="s">
        <v>68</v>
      </c>
      <c r="K553" s="80" t="s">
        <v>68</v>
      </c>
      <c r="L553" s="81" t="s">
        <v>68</v>
      </c>
      <c r="M553" s="81" t="s">
        <v>68</v>
      </c>
      <c r="N553" s="28" t="s">
        <v>39</v>
      </c>
      <c r="O553" s="28" t="s">
        <v>69</v>
      </c>
      <c r="P553" s="28" t="s">
        <v>64</v>
      </c>
      <c r="Q553" s="29">
        <f t="shared" ref="Q553:Q554" si="311">(I553*25)/4</f>
        <v>0.3984375</v>
      </c>
      <c r="R553" s="53">
        <v>45550</v>
      </c>
      <c r="S553" s="54" t="s">
        <v>41</v>
      </c>
      <c r="T553" s="62" t="s">
        <v>52</v>
      </c>
      <c r="U553" s="16">
        <f t="shared" ca="1" si="285"/>
        <v>-0.81643835616438354</v>
      </c>
      <c r="V553" s="11" t="str">
        <v>All</v>
      </c>
      <c r="X553" t="e">
        <f t="shared" ca="1" si="290"/>
        <v>#VALUE!</v>
      </c>
      <c r="Z553" s="17">
        <f t="shared" ca="1" si="291"/>
        <v>46213</v>
      </c>
      <c r="AG553" s="33" t="e">
        <f t="shared" ca="1" si="292"/>
        <v>#VALUE!</v>
      </c>
      <c r="AH553" t="e">
        <f t="shared" ca="1" si="293"/>
        <v>#VALUE!</v>
      </c>
      <c r="AI553" t="e">
        <f t="shared" ca="1" si="294"/>
        <v>#VALUE!</v>
      </c>
      <c r="AJ553" t="e">
        <f t="shared" ca="1" si="295"/>
        <v>#VALUE!</v>
      </c>
      <c r="AK553" t="e">
        <f t="shared" ca="1" si="296"/>
        <v>#VALUE!</v>
      </c>
    </row>
    <row r="554" spans="1:37" ht="17.25" customHeight="1">
      <c r="A554" s="68"/>
      <c r="B554" s="69" t="s">
        <v>435</v>
      </c>
      <c r="C554" s="28" t="s">
        <v>27</v>
      </c>
      <c r="D554" s="28" t="s">
        <v>35</v>
      </c>
      <c r="E554" s="28" t="s">
        <v>110</v>
      </c>
      <c r="F554" s="28" t="s">
        <v>46</v>
      </c>
      <c r="G554" s="28" t="s">
        <v>38</v>
      </c>
      <c r="H554" s="94" t="str">
        <f>HYPERLINK("https://innovativeincomeinvestor.com/security/regions-financial-5-70-fixed-to-floating-rate-non-cumulative-perpetual-preferred-stock-series-c/","RF-C")</f>
        <v>RF-C</v>
      </c>
      <c r="I554" s="47">
        <v>5.7000000000000002E-2</v>
      </c>
      <c r="J554" s="25">
        <f ca="1">IFERROR(__xludf.DUMMYFUNCTION("GoogleFinance(H554)"),24.45)</f>
        <v>24.45</v>
      </c>
      <c r="K554" s="67">
        <f ca="1">IFERROR(__xludf.DUMMYFUNCTION("googlefinance(H554,""change"")"),-0.08)</f>
        <v>-0.08</v>
      </c>
      <c r="L554" s="27">
        <f t="shared" ref="L554:L555" ca="1" si="312">(Q554*4)/J554</f>
        <v>5.8282208588957059E-2</v>
      </c>
      <c r="M554" s="27">
        <f t="shared" ref="M554:M558" ca="1" si="313">L554*U554+(25-J554)/25/U554</f>
        <v>0.24440095531287245</v>
      </c>
      <c r="N554" s="28" t="s">
        <v>39</v>
      </c>
      <c r="O554" s="28" t="s">
        <v>69</v>
      </c>
      <c r="P554" s="28" t="s">
        <v>64</v>
      </c>
      <c r="Q554" s="29">
        <f t="shared" si="311"/>
        <v>0.35625000000000001</v>
      </c>
      <c r="R554" s="64">
        <v>47345</v>
      </c>
      <c r="S554" s="28" t="s">
        <v>41</v>
      </c>
      <c r="T554" s="62" t="s">
        <v>436</v>
      </c>
      <c r="U554" s="16">
        <f t="shared" ca="1" si="285"/>
        <v>4.1013698630136988</v>
      </c>
      <c r="V554" s="11" t="str">
        <v>All</v>
      </c>
      <c r="X554">
        <f t="shared" ca="1" si="290"/>
        <v>8.0112467145292077E-2</v>
      </c>
      <c r="Z554" s="17">
        <f t="shared" ca="1" si="291"/>
        <v>46213</v>
      </c>
      <c r="AG554" s="33">
        <f t="shared" ca="1" si="292"/>
        <v>6.8869224755193262E-2</v>
      </c>
      <c r="AH554">
        <f t="shared" ca="1" si="293"/>
        <v>6.215505139287196E-2</v>
      </c>
      <c r="AI554">
        <f t="shared" ca="1" si="294"/>
        <v>6.0885599112155429E-2</v>
      </c>
      <c r="AJ554">
        <f t="shared" ca="1" si="295"/>
        <v>5.9941691421854147E-2</v>
      </c>
      <c r="AK554">
        <f t="shared" ca="1" si="296"/>
        <v>5.8879376797696246E-2</v>
      </c>
    </row>
    <row r="555" spans="1:37" ht="17.25" customHeight="1">
      <c r="A555" s="19"/>
      <c r="B555" s="45" t="s">
        <v>435</v>
      </c>
      <c r="C555" s="28" t="s">
        <v>27</v>
      </c>
      <c r="D555" s="28" t="s">
        <v>35</v>
      </c>
      <c r="E555" s="28" t="s">
        <v>110</v>
      </c>
      <c r="F555" s="36" t="s">
        <v>437</v>
      </c>
      <c r="G555" s="28" t="s">
        <v>38</v>
      </c>
      <c r="H555" s="83" t="str">
        <f>HYPERLINK("https://innovativeincomeinvestor.com/security/regions-financial-6-95-non-cumulative-perpetual-preferred-stock-series-f-fixed-rate-reset/","RF-F")</f>
        <v>RF-F</v>
      </c>
      <c r="I555" s="47">
        <v>6.9500000000000006E-2</v>
      </c>
      <c r="J555" s="25">
        <f ca="1">IFERROR(__xludf.DUMMYFUNCTION("GoogleFinance(H555)"),25.16)</f>
        <v>25.16</v>
      </c>
      <c r="K555" s="67">
        <f ca="1">IFERROR(__xludf.DUMMYFUNCTION("googlefinance(H555,""change"")"),-0.06)</f>
        <v>-0.06</v>
      </c>
      <c r="L555" s="27">
        <f t="shared" ca="1" si="312"/>
        <v>6.9046104928457877E-2</v>
      </c>
      <c r="M555" s="27">
        <f t="shared" ca="1" si="313"/>
        <v>0.28751900783419027</v>
      </c>
      <c r="N555" s="28" t="s">
        <v>39</v>
      </c>
      <c r="O555" s="28" t="s">
        <v>69</v>
      </c>
      <c r="P555" s="28" t="s">
        <v>64</v>
      </c>
      <c r="Q555" s="65">
        <v>0.43430000000000002</v>
      </c>
      <c r="R555" s="64">
        <v>47376</v>
      </c>
      <c r="S555" s="28" t="s">
        <v>41</v>
      </c>
      <c r="T555" s="62" t="s">
        <v>52</v>
      </c>
      <c r="U555" s="16">
        <f t="shared" ca="1" si="285"/>
        <v>4.1863013698630134</v>
      </c>
      <c r="V555" s="11" t="str">
        <v>All</v>
      </c>
      <c r="X555">
        <f t="shared" ca="1" si="290"/>
        <v>6.2846654021357237E-2</v>
      </c>
      <c r="Z555" s="17">
        <f t="shared" ca="1" si="291"/>
        <v>46213</v>
      </c>
      <c r="AG555" s="33">
        <f t="shared" ca="1" si="292"/>
        <v>6.6057649410074415E-2</v>
      </c>
      <c r="AH555">
        <f t="shared" ca="1" si="293"/>
        <v>6.7978335037103835E-2</v>
      </c>
      <c r="AI555">
        <f t="shared" ca="1" si="294"/>
        <v>6.8340714870143468E-2</v>
      </c>
      <c r="AJ555">
        <f t="shared" ca="1" si="295"/>
        <v>6.8609483298693374E-2</v>
      </c>
      <c r="AK555">
        <f t="shared" ca="1" si="296"/>
        <v>6.8907117979186333E-2</v>
      </c>
    </row>
    <row r="556" spans="1:37" ht="17.25" customHeight="1">
      <c r="A556" s="19"/>
      <c r="B556" s="45" t="s">
        <v>438</v>
      </c>
      <c r="C556" s="28" t="s">
        <v>27</v>
      </c>
      <c r="D556" s="28" t="s">
        <v>27</v>
      </c>
      <c r="E556" s="28" t="s">
        <v>28</v>
      </c>
      <c r="F556" s="36" t="s">
        <v>29</v>
      </c>
      <c r="G556" s="28" t="s">
        <v>30</v>
      </c>
      <c r="H556" s="51" t="str">
        <f>HYPERLINK("https://innovativeincomeinvestor.com/security/reinsurance-group-of-america-5-75/","RZB")</f>
        <v>RZB</v>
      </c>
      <c r="I556" s="47">
        <v>5.7500000000000002E-2</v>
      </c>
      <c r="J556" s="56">
        <f ca="1">IFERROR(__xludf.DUMMYFUNCTION("IMPORTXML(""https://bigcharts.marketwatch.com/quickchart/quickchart.asp?symb=RZB&amp;insttype=Stock"",""html/body/div[1]/div[2]/table/tbody/tr/td[1]/table/tbody/tr[3]/td[1]/div"")"),24.74)</f>
        <v>24.74</v>
      </c>
      <c r="K556" s="26">
        <f ca="1">IFERROR(__xludf.DUMMYFUNCTION("GOOGLEFINANCE(H556,""change"")"),-0.04)</f>
        <v>-0.04</v>
      </c>
      <c r="L556" s="27">
        <f t="shared" ref="L556:L557" ca="1" si="314">Q556*4/J556</f>
        <v>5.8043654001616818E-2</v>
      </c>
      <c r="M556" s="27">
        <f t="shared" ca="1" si="313"/>
        <v>6.5232767144133064E-2</v>
      </c>
      <c r="N556" s="28" t="s">
        <v>39</v>
      </c>
      <c r="O556" s="28" t="s">
        <v>50</v>
      </c>
      <c r="P556" s="28" t="s">
        <v>76</v>
      </c>
      <c r="Q556" s="65">
        <v>0.35899999999999999</v>
      </c>
      <c r="R556" s="64">
        <v>46188</v>
      </c>
      <c r="S556" s="64">
        <v>57146</v>
      </c>
      <c r="T556" s="62" t="s">
        <v>52</v>
      </c>
      <c r="U556" s="16">
        <f t="shared" ca="1" si="285"/>
        <v>0.93150684931506844</v>
      </c>
      <c r="V556" s="11" t="str">
        <v>All</v>
      </c>
      <c r="X556">
        <f t="shared" ca="1" si="290"/>
        <v>6.8348025351320146E-2</v>
      </c>
      <c r="Z556" s="17">
        <f t="shared" ca="1" si="291"/>
        <v>46213</v>
      </c>
      <c r="AG556" s="33">
        <f t="shared" ca="1" si="292"/>
        <v>6.3075726644878552E-2</v>
      </c>
      <c r="AH556">
        <f t="shared" ca="1" si="293"/>
        <v>5.9923448798026809E-2</v>
      </c>
      <c r="AI556">
        <f t="shared" ca="1" si="294"/>
        <v>5.9327111441343623E-2</v>
      </c>
      <c r="AJ556">
        <f t="shared" ca="1" si="295"/>
        <v>5.8883757168652712E-2</v>
      </c>
      <c r="AK556">
        <f t="shared" ca="1" si="296"/>
        <v>5.8384632765107712E-2</v>
      </c>
    </row>
    <row r="557" spans="1:37" ht="17.25" customHeight="1">
      <c r="A557" s="19"/>
      <c r="B557" s="45" t="s">
        <v>438</v>
      </c>
      <c r="C557" s="28" t="s">
        <v>27</v>
      </c>
      <c r="D557" s="28" t="s">
        <v>27</v>
      </c>
      <c r="E557" s="28" t="s">
        <v>28</v>
      </c>
      <c r="F557" s="36" t="s">
        <v>29</v>
      </c>
      <c r="G557" s="28" t="s">
        <v>30</v>
      </c>
      <c r="H557" s="83" t="str">
        <f>HYPERLINK("https://innovativeincomeinvestor.com/security/reinsurance-group-of-america-inc-7-125-fixed-rate-reset-subordinated-debentures-due-2052/","RZC")</f>
        <v>RZC</v>
      </c>
      <c r="I557" s="47">
        <v>7.1249999999999994E-2</v>
      </c>
      <c r="J557" s="128">
        <f ca="1">IFERROR(__xludf.DUMMYFUNCTION("GOOGLEFINANCE(H557)"),25.35)</f>
        <v>25.35</v>
      </c>
      <c r="K557" s="26">
        <f ca="1">IFERROR(__xludf.DUMMYFUNCTION("GOOGLEFINANCE(H557,""change"")"),0)</f>
        <v>0</v>
      </c>
      <c r="L557" s="27">
        <f t="shared" ca="1" si="314"/>
        <v>7.1005917159763315E-2</v>
      </c>
      <c r="M557" s="27">
        <f t="shared" ca="1" si="313"/>
        <v>0.15470293987894768</v>
      </c>
      <c r="N557" s="28" t="s">
        <v>39</v>
      </c>
      <c r="O557" s="28" t="s">
        <v>50</v>
      </c>
      <c r="P557" s="28" t="s">
        <v>76</v>
      </c>
      <c r="Q557" s="65">
        <v>0.45</v>
      </c>
      <c r="R557" s="53">
        <v>46675</v>
      </c>
      <c r="S557" s="61">
        <v>55807</v>
      </c>
      <c r="T557" s="50" t="s">
        <v>74</v>
      </c>
      <c r="U557" s="16">
        <f t="shared" ca="1" si="285"/>
        <v>2.2657534246575342</v>
      </c>
      <c r="V557" s="11" t="str">
        <v>All</v>
      </c>
      <c r="X557">
        <f t="shared" ca="1" si="290"/>
        <v>5.674994048828258E-2</v>
      </c>
      <c r="Z557" s="17">
        <f t="shared" ca="1" si="291"/>
        <v>46213</v>
      </c>
      <c r="AG557" s="33">
        <f t="shared" ca="1" si="292"/>
        <v>6.3738801644076734E-2</v>
      </c>
      <c r="AH557">
        <f t="shared" ca="1" si="293"/>
        <v>6.7922257245973977E-2</v>
      </c>
      <c r="AI557">
        <f t="shared" ca="1" si="294"/>
        <v>6.8711635749153135E-2</v>
      </c>
      <c r="AJ557">
        <f t="shared" ca="1" si="295"/>
        <v>6.9296503548882435E-2</v>
      </c>
      <c r="AK557">
        <f t="shared" ca="1" si="296"/>
        <v>6.9943427475977274E-2</v>
      </c>
    </row>
    <row r="558" spans="1:37" ht="17.25" customHeight="1">
      <c r="A558" s="19"/>
      <c r="B558" s="45" t="s">
        <v>439</v>
      </c>
      <c r="C558" s="28" t="s">
        <v>27</v>
      </c>
      <c r="D558" s="28" t="s">
        <v>35</v>
      </c>
      <c r="E558" s="28" t="s">
        <v>28</v>
      </c>
      <c r="F558" s="36" t="s">
        <v>29</v>
      </c>
      <c r="G558" s="28" t="s">
        <v>38</v>
      </c>
      <c r="H558" s="55" t="str">
        <f>HYPERLINK("https://innovativeincomeinvestor.com/security/renaissancere-holdigns-ltd-4-20-series-g-preference-stock/","RNR-G")</f>
        <v>RNR-G</v>
      </c>
      <c r="I558" s="47">
        <v>4.2000000000000003E-2</v>
      </c>
      <c r="J558" s="65">
        <f ca="1">IFERROR(__xludf.DUMMYFUNCTION("GoogleFinance(H558)"),15.9)</f>
        <v>15.9</v>
      </c>
      <c r="K558" s="48">
        <f ca="1">IFERROR(__xludf.DUMMYFUNCTION("googlefinance(H558,""change"")"),-0.09)</f>
        <v>-0.09</v>
      </c>
      <c r="L558" s="27">
        <f t="shared" ref="L558:L561" ca="1" si="315">(Q558*4)/J558</f>
        <v>6.6037735849056603E-2</v>
      </c>
      <c r="M558" s="27">
        <f t="shared" ca="1" si="313"/>
        <v>0.42602344344861787</v>
      </c>
      <c r="N558" s="28" t="s">
        <v>39</v>
      </c>
      <c r="O558" s="28" t="s">
        <v>50</v>
      </c>
      <c r="P558" s="28" t="s">
        <v>76</v>
      </c>
      <c r="Q558" s="29">
        <f t="shared" ref="Q558:Q561" si="316">(I558*25)/4</f>
        <v>0.26250000000000001</v>
      </c>
      <c r="R558" s="53">
        <v>46218</v>
      </c>
      <c r="S558" s="54" t="s">
        <v>41</v>
      </c>
      <c r="T558" s="50" t="s">
        <v>81</v>
      </c>
      <c r="U558" s="16">
        <f t="shared" ca="1" si="285"/>
        <v>1.0136986301369864</v>
      </c>
      <c r="V558" s="11" t="str">
        <v>All</v>
      </c>
      <c r="X558">
        <f t="shared" ca="1" si="290"/>
        <v>0.53542672664939761</v>
      </c>
      <c r="Z558" s="17">
        <f t="shared" ca="1" si="291"/>
        <v>46213</v>
      </c>
      <c r="AG558" s="33">
        <f t="shared" ca="1" si="292"/>
        <v>0.2876411968871429</v>
      </c>
      <c r="AH558">
        <f t="shared" ca="1" si="293"/>
        <v>0.14584348046159903</v>
      </c>
      <c r="AI558">
        <f t="shared" ca="1" si="294"/>
        <v>0.11952007830934948</v>
      </c>
      <c r="AJ558">
        <f t="shared" ca="1" si="295"/>
        <v>0.10002647071527407</v>
      </c>
      <c r="AK558">
        <f t="shared" ca="1" si="296"/>
        <v>7.8138042424468937E-2</v>
      </c>
    </row>
    <row r="559" spans="1:37" ht="17.25" customHeight="1">
      <c r="A559" s="19"/>
      <c r="B559" s="45" t="s">
        <v>439</v>
      </c>
      <c r="C559" s="28" t="s">
        <v>27</v>
      </c>
      <c r="D559" s="28" t="s">
        <v>35</v>
      </c>
      <c r="E559" s="28" t="s">
        <v>28</v>
      </c>
      <c r="F559" s="36" t="s">
        <v>29</v>
      </c>
      <c r="G559" s="28" t="s">
        <v>38</v>
      </c>
      <c r="H559" s="51" t="str">
        <f>HYPERLINK("https://innovativeincomeinvestor.com/security/renaissancere-holdings-ltd-5-75-series-f-preference-shares/","RNR-F")</f>
        <v>RNR-F</v>
      </c>
      <c r="I559" s="47">
        <v>5.7500000000000002E-2</v>
      </c>
      <c r="J559" s="25">
        <f ca="1">IFERROR(__xludf.DUMMYFUNCTION("GoogleFinance(H559)"),21.52)</f>
        <v>21.52</v>
      </c>
      <c r="K559" s="65">
        <f ca="1">IFERROR(__xludf.DUMMYFUNCTION("googlefinance(H559,""change"")"),-0.05)</f>
        <v>-0.05</v>
      </c>
      <c r="L559" s="27">
        <f t="shared" ca="1" si="315"/>
        <v>6.6798327137546465E-2</v>
      </c>
      <c r="M559" s="27">
        <f t="shared" ref="M559:M560" ca="1" si="317">(25-J559)/25</f>
        <v>0.13920000000000002</v>
      </c>
      <c r="N559" s="28" t="s">
        <v>39</v>
      </c>
      <c r="O559" s="28" t="s">
        <v>50</v>
      </c>
      <c r="P559" s="28" t="s">
        <v>76</v>
      </c>
      <c r="Q559" s="29">
        <f t="shared" si="316"/>
        <v>0.359375</v>
      </c>
      <c r="R559" s="64">
        <v>45107</v>
      </c>
      <c r="S559" s="65" t="s">
        <v>41</v>
      </c>
      <c r="T559" s="62" t="s">
        <v>81</v>
      </c>
      <c r="U559" s="16">
        <f t="shared" ca="1" si="285"/>
        <v>-2.0301369863013701</v>
      </c>
      <c r="V559" s="11" t="str">
        <v>All</v>
      </c>
      <c r="X559">
        <f t="shared" ca="1" si="290"/>
        <v>0.21598433860819277</v>
      </c>
      <c r="Z559" s="17">
        <f t="shared" ca="1" si="291"/>
        <v>46213</v>
      </c>
      <c r="AG559" s="33">
        <f t="shared" ca="1" si="292"/>
        <v>0.13836311149352087</v>
      </c>
      <c r="AH559">
        <f t="shared" ca="1" si="293"/>
        <v>9.261185690884699E-2</v>
      </c>
      <c r="AI559">
        <f t="shared" ca="1" si="294"/>
        <v>8.4020698364619881E-2</v>
      </c>
      <c r="AJ559">
        <f t="shared" ca="1" si="295"/>
        <v>7.7652317717889344E-2</v>
      </c>
      <c r="AK559">
        <f t="shared" ca="1" si="296"/>
        <v>7.0543353261704661E-2</v>
      </c>
    </row>
    <row r="560" spans="1:37" ht="17.25" customHeight="1">
      <c r="A560" s="19"/>
      <c r="B560" s="45" t="s">
        <v>440</v>
      </c>
      <c r="C560" s="36" t="s">
        <v>35</v>
      </c>
      <c r="D560" s="36" t="s">
        <v>27</v>
      </c>
      <c r="E560" s="28" t="s">
        <v>63</v>
      </c>
      <c r="F560" s="36" t="s">
        <v>29</v>
      </c>
      <c r="G560" s="28" t="s">
        <v>38</v>
      </c>
      <c r="H560" s="51" t="str">
        <f>HYPERLINK("https://innovativeincomeinvestor.com/security/rexford-industrial-5-875-series-b-cumulative-redeemable-preferred-stock/","REXR-B")</f>
        <v>REXR-B</v>
      </c>
      <c r="I560" s="85">
        <v>5.8749999999999997E-2</v>
      </c>
      <c r="J560" s="65">
        <f ca="1">IFERROR(__xludf.DUMMYFUNCTION("GoogleFinance(H560)"),22.7)</f>
        <v>22.7</v>
      </c>
      <c r="K560" s="48">
        <f ca="1">IFERROR(__xludf.DUMMYFUNCTION("googlefinance(H560,""change"")"),-0.24)</f>
        <v>-0.24</v>
      </c>
      <c r="L560" s="27">
        <f t="shared" ca="1" si="315"/>
        <v>6.4702643171806171E-2</v>
      </c>
      <c r="M560" s="27">
        <f t="shared" ca="1" si="317"/>
        <v>9.2000000000000026E-2</v>
      </c>
      <c r="N560" s="28" t="s">
        <v>31</v>
      </c>
      <c r="O560" s="27" t="s">
        <v>32</v>
      </c>
      <c r="P560" s="27" t="s">
        <v>32</v>
      </c>
      <c r="Q560" s="29">
        <f t="shared" si="316"/>
        <v>0.3671875</v>
      </c>
      <c r="R560" s="53">
        <v>44878</v>
      </c>
      <c r="S560" s="54" t="s">
        <v>41</v>
      </c>
      <c r="T560" s="62" t="s">
        <v>42</v>
      </c>
      <c r="U560" s="16">
        <f t="shared" ca="1" si="285"/>
        <v>-2.6575342465753424</v>
      </c>
      <c r="V560" s="11" t="str">
        <v>All</v>
      </c>
      <c r="X560">
        <f t="shared" ca="1" si="290"/>
        <v>0.16013861658909506</v>
      </c>
      <c r="Z560" s="17">
        <f t="shared" ca="1" si="291"/>
        <v>46213</v>
      </c>
      <c r="AG560" s="33">
        <f t="shared" ca="1" si="292"/>
        <v>0.11065876202881686</v>
      </c>
      <c r="AH560">
        <f t="shared" ca="1" si="293"/>
        <v>8.1338192514025215E-2</v>
      </c>
      <c r="AI560">
        <f t="shared" ca="1" si="294"/>
        <v>7.5818643302433902E-2</v>
      </c>
      <c r="AJ560">
        <f t="shared" ca="1" si="295"/>
        <v>7.1723726775807212E-2</v>
      </c>
      <c r="AK560">
        <f t="shared" ca="1" si="296"/>
        <v>6.7145520718215279E-2</v>
      </c>
    </row>
    <row r="561" spans="1:37" ht="17.25" customHeight="1">
      <c r="A561" s="19"/>
      <c r="B561" s="45" t="s">
        <v>440</v>
      </c>
      <c r="C561" s="36" t="s">
        <v>35</v>
      </c>
      <c r="D561" s="36" t="s">
        <v>27</v>
      </c>
      <c r="E561" s="28" t="s">
        <v>63</v>
      </c>
      <c r="F561" s="36" t="s">
        <v>29</v>
      </c>
      <c r="G561" s="28" t="s">
        <v>38</v>
      </c>
      <c r="H561" s="23" t="str">
        <f>HYPERLINK("https://innovativeincomeinvestor.com/security/rexford-industrial-realty-inc-5-625-series-c-cumulative-redeemable-preferred-stock/","REXR-C")</f>
        <v>REXR-C</v>
      </c>
      <c r="I561" s="85">
        <v>5.6250000000000001E-2</v>
      </c>
      <c r="J561" s="65">
        <f ca="1">IFERROR(__xludf.DUMMYFUNCTION("GoogleFinance(H561)"),20.93)</f>
        <v>20.93</v>
      </c>
      <c r="K561" s="48">
        <f ca="1">IFERROR(__xludf.DUMMYFUNCTION("googlefinance(H561,""change"")"),-0.17)</f>
        <v>-0.17</v>
      </c>
      <c r="L561" s="27">
        <f t="shared" ca="1" si="315"/>
        <v>6.7188246536072624E-2</v>
      </c>
      <c r="M561" s="27">
        <f t="array" aca="1" ref="M561" ca="1">L561*U561+(25-J561)/25/U561</f>
        <v>-0.25674013536748141</v>
      </c>
      <c r="N561" s="28" t="s">
        <v>31</v>
      </c>
      <c r="O561" s="27" t="s">
        <v>32</v>
      </c>
      <c r="P561" s="27" t="s">
        <v>32</v>
      </c>
      <c r="Q561" s="29">
        <f t="shared" si="316"/>
        <v>0.3515625</v>
      </c>
      <c r="R561" s="53">
        <v>45555</v>
      </c>
      <c r="S561" s="54" t="s">
        <v>41</v>
      </c>
      <c r="T561" s="50" t="s">
        <v>42</v>
      </c>
      <c r="U561" s="16">
        <f t="shared" ca="1" si="285"/>
        <v>-0.80273972602739729</v>
      </c>
      <c r="V561" s="11" t="str">
        <v>All</v>
      </c>
      <c r="X561">
        <f t="shared" ca="1" si="290"/>
        <v>0.24468506780331709</v>
      </c>
      <c r="Z561" s="17">
        <f t="shared" ca="1" si="291"/>
        <v>46213</v>
      </c>
      <c r="AG561" s="33">
        <f t="shared" ca="1" si="292"/>
        <v>0.15219337859917165</v>
      </c>
      <c r="AH561">
        <f t="shared" ca="1" si="293"/>
        <v>9.7825937689853551E-2</v>
      </c>
      <c r="AI561">
        <f t="shared" ca="1" si="294"/>
        <v>8.7628358076025425E-2</v>
      </c>
      <c r="AJ561">
        <f t="shared" ca="1" si="295"/>
        <v>8.0070718919136141E-2</v>
      </c>
      <c r="AK561">
        <f t="shared" ca="1" si="296"/>
        <v>7.1633603437082707E-2</v>
      </c>
    </row>
    <row r="562" spans="1:37" ht="17.25" customHeight="1">
      <c r="A562" s="19"/>
      <c r="B562" s="45" t="s">
        <v>441</v>
      </c>
      <c r="C562" s="28" t="s">
        <v>35</v>
      </c>
      <c r="D562" s="28" t="s">
        <v>27</v>
      </c>
      <c r="E562" s="28" t="s">
        <v>44</v>
      </c>
      <c r="F562" s="28" t="s">
        <v>46</v>
      </c>
      <c r="G562" s="28" t="s">
        <v>38</v>
      </c>
      <c r="H562" s="83" t="str">
        <f>HYPERLINK("https://innovativeincomeinvestor.com/security/new-residential-investment-corporation-7-125-series-b-fixed-to-floating-rate-cumulative-redeemable-preferred-stock/","RITM-B")</f>
        <v>RITM-B</v>
      </c>
      <c r="I562" s="47">
        <v>7.1249999999999994E-2</v>
      </c>
      <c r="J562" s="96">
        <f ca="1">IFERROR(__xludf.DUMMYFUNCTION("GoogleFinance(H562)"),25.56)</f>
        <v>25.56</v>
      </c>
      <c r="K562" s="26">
        <f ca="1">IFERROR(__xludf.DUMMYFUNCTION("GOOGLEFINANCE(H562,""change"")"),0)</f>
        <v>0</v>
      </c>
      <c r="L562" s="52" t="s">
        <v>47</v>
      </c>
      <c r="M562" s="52" t="s">
        <v>47</v>
      </c>
      <c r="N562" s="28" t="s">
        <v>31</v>
      </c>
      <c r="O562" s="27" t="s">
        <v>32</v>
      </c>
      <c r="P562" s="27" t="s">
        <v>32</v>
      </c>
      <c r="Q562" s="52" t="s">
        <v>47</v>
      </c>
      <c r="R562" s="64">
        <v>45519</v>
      </c>
      <c r="S562" s="28" t="s">
        <v>41</v>
      </c>
      <c r="T562" s="62" t="s">
        <v>33</v>
      </c>
      <c r="U562" s="16">
        <f t="shared" ca="1" si="285"/>
        <v>-0.90136986301369859</v>
      </c>
      <c r="V562" s="11" t="str">
        <v>All</v>
      </c>
      <c r="X562">
        <f t="shared" ca="1" si="290"/>
        <v>4.8171561684206422E-2</v>
      </c>
      <c r="Z562" s="17">
        <f t="shared" ca="1" si="291"/>
        <v>46213</v>
      </c>
      <c r="AG562" s="33">
        <f t="shared" ca="1" si="292"/>
        <v>5.9290123463583644E-2</v>
      </c>
      <c r="AH562">
        <f t="shared" ca="1" si="293"/>
        <v>6.5951451987138379E-2</v>
      </c>
      <c r="AI562">
        <f t="shared" ca="1" si="294"/>
        <v>6.7209031562049493E-2</v>
      </c>
      <c r="AJ562">
        <f t="shared" ca="1" si="295"/>
        <v>6.8140839677720444E-2</v>
      </c>
      <c r="AK562">
        <f t="shared" ca="1" si="296"/>
        <v>6.9172408163895041E-2</v>
      </c>
    </row>
    <row r="563" spans="1:37" ht="17.25" customHeight="1">
      <c r="A563" s="19"/>
      <c r="B563" s="45" t="s">
        <v>441</v>
      </c>
      <c r="C563" s="28" t="s">
        <v>35</v>
      </c>
      <c r="D563" s="28" t="s">
        <v>27</v>
      </c>
      <c r="E563" s="28" t="s">
        <v>44</v>
      </c>
      <c r="F563" s="28" t="s">
        <v>46</v>
      </c>
      <c r="G563" s="28" t="s">
        <v>38</v>
      </c>
      <c r="H563" s="51" t="str">
        <f>HYPERLINK("https://innovativeincomeinvestor.com/security/new-residential-investment-corp-7-50-series-a-fixed-to-floating-rate-cumulative-redeemable-preferred-stock/","RITM-A")</f>
        <v>RITM-A</v>
      </c>
      <c r="I563" s="47">
        <v>7.4999999999999997E-2</v>
      </c>
      <c r="J563" s="96">
        <f ca="1">IFERROR(__xludf.DUMMYFUNCTION("GoogleFinance(H563)"),25.6)</f>
        <v>25.6</v>
      </c>
      <c r="K563" s="26">
        <f ca="1">IFERROR(__xludf.DUMMYFUNCTION("GOOGLEFINANCE(H563,""change"")"),0)</f>
        <v>0</v>
      </c>
      <c r="L563" s="52" t="s">
        <v>47</v>
      </c>
      <c r="M563" s="52" t="s">
        <v>47</v>
      </c>
      <c r="N563" s="28" t="s">
        <v>31</v>
      </c>
      <c r="O563" s="27" t="s">
        <v>32</v>
      </c>
      <c r="P563" s="27" t="s">
        <v>32</v>
      </c>
      <c r="Q563" s="52" t="s">
        <v>47</v>
      </c>
      <c r="R563" s="64">
        <v>45519</v>
      </c>
      <c r="S563" s="28" t="s">
        <v>41</v>
      </c>
      <c r="T563" s="62" t="s">
        <v>33</v>
      </c>
      <c r="U563" s="16">
        <f t="shared" ca="1" si="285"/>
        <v>-0.90136986301369859</v>
      </c>
      <c r="V563" s="11" t="str">
        <v>All</v>
      </c>
      <c r="X563">
        <f t="shared" ca="1" si="290"/>
        <v>5.0241671686541832E-2</v>
      </c>
      <c r="Z563" s="17">
        <f t="shared" ca="1" si="291"/>
        <v>46213</v>
      </c>
      <c r="AG563" s="33">
        <f t="shared" ca="1" si="292"/>
        <v>6.2145943479330661E-2</v>
      </c>
      <c r="AH563">
        <f t="shared" ca="1" si="293"/>
        <v>6.9276659028229631E-2</v>
      </c>
      <c r="AI563">
        <f t="shared" ca="1" si="294"/>
        <v>7.0621512003150144E-2</v>
      </c>
      <c r="AJ563">
        <f t="shared" ca="1" si="295"/>
        <v>7.1616553489847121E-2</v>
      </c>
      <c r="AK563">
        <f t="shared" ca="1" si="296"/>
        <v>7.2712355492032893E-2</v>
      </c>
    </row>
    <row r="564" spans="1:37" ht="17.25" customHeight="1">
      <c r="A564" s="19"/>
      <c r="B564" s="45" t="s">
        <v>441</v>
      </c>
      <c r="C564" s="28" t="s">
        <v>35</v>
      </c>
      <c r="D564" s="28" t="s">
        <v>27</v>
      </c>
      <c r="E564" s="28" t="s">
        <v>44</v>
      </c>
      <c r="F564" s="28" t="s">
        <v>46</v>
      </c>
      <c r="G564" s="28" t="s">
        <v>38</v>
      </c>
      <c r="H564" s="46" t="str">
        <f>HYPERLINK("https://innovativeincomeinvestor.com/security/new-residential-investment-corp-6-375-fixed-to-floating-rate-cumulative-redeemable-preferred-stock/","RITM-C")</f>
        <v>RITM-C</v>
      </c>
      <c r="I564" s="47">
        <v>6.3750000000000001E-2</v>
      </c>
      <c r="J564" s="96">
        <f ca="1">IFERROR(__xludf.DUMMYFUNCTION("GoogleFinance(H564)"),24.87)</f>
        <v>24.87</v>
      </c>
      <c r="K564" s="26">
        <f ca="1">IFERROR(__xludf.DUMMYFUNCTION("GOOGLEFINANCE(H564,""change"")"),0.03)</f>
        <v>0.03</v>
      </c>
      <c r="L564" s="52" t="s">
        <v>47</v>
      </c>
      <c r="M564" s="27" t="e">
        <f t="shared" ref="M564:M566" ca="1" si="318">L564*U564+(25-J564)/25/U564</f>
        <v>#VALUE!</v>
      </c>
      <c r="N564" s="28" t="s">
        <v>31</v>
      </c>
      <c r="O564" s="27" t="s">
        <v>32</v>
      </c>
      <c r="P564" s="28" t="s">
        <v>32</v>
      </c>
      <c r="Q564" s="52" t="s">
        <v>47</v>
      </c>
      <c r="R564" s="64">
        <v>45703</v>
      </c>
      <c r="S564" s="28" t="s">
        <v>41</v>
      </c>
      <c r="T564" s="62" t="s">
        <v>33</v>
      </c>
      <c r="U564" s="16">
        <f t="shared" ca="1" si="285"/>
        <v>-0.39726027397260272</v>
      </c>
      <c r="V564" s="11" t="str">
        <v>All</v>
      </c>
      <c r="X564">
        <f t="shared" ca="1" si="290"/>
        <v>6.9176751741420059E-2</v>
      </c>
      <c r="Z564" s="17">
        <f t="shared" ca="1" si="291"/>
        <v>46213</v>
      </c>
      <c r="AG564" s="33">
        <f t="shared" ca="1" si="292"/>
        <v>6.6548400106288361E-2</v>
      </c>
      <c r="AH564">
        <f t="shared" ca="1" si="293"/>
        <v>6.4976667770981003E-2</v>
      </c>
      <c r="AI564">
        <f t="shared" ca="1" si="294"/>
        <v>6.4679649708324252E-2</v>
      </c>
      <c r="AJ564">
        <f t="shared" ca="1" si="295"/>
        <v>6.4459418950758435E-2</v>
      </c>
      <c r="AK564">
        <f t="shared" ca="1" si="296"/>
        <v>6.4213130703442561E-2</v>
      </c>
    </row>
    <row r="565" spans="1:37" ht="17.25" customHeight="1">
      <c r="A565" s="19"/>
      <c r="B565" s="45" t="s">
        <v>441</v>
      </c>
      <c r="C565" s="28" t="s">
        <v>35</v>
      </c>
      <c r="D565" s="28" t="s">
        <v>27</v>
      </c>
      <c r="E565" s="28" t="s">
        <v>44</v>
      </c>
      <c r="F565" s="28" t="s">
        <v>61</v>
      </c>
      <c r="G565" s="21" t="s">
        <v>38</v>
      </c>
      <c r="H565" s="83" t="str">
        <f>HYPERLINK("https://innovativeincomeinvestor.com/security/16082/","RITM-D")</f>
        <v>RITM-D</v>
      </c>
      <c r="I565" s="47">
        <v>7.0000000000000007E-2</v>
      </c>
      <c r="J565" s="198">
        <f ca="1">IFERROR(__xludf.DUMMYFUNCTION("GoogleFinance(H565)"),24.27)</f>
        <v>24.27</v>
      </c>
      <c r="K565" s="26">
        <f ca="1">IFERROR(__xludf.DUMMYFUNCTION("GOOGLEFINANCE(H565,""change"")"),-0.01)</f>
        <v>-0.01</v>
      </c>
      <c r="L565" s="27">
        <f t="shared" ref="L565:L566" ca="1" si="319">(Q565*4)/J565</f>
        <v>7.210548001648126E-2</v>
      </c>
      <c r="M565" s="27">
        <f t="shared" ca="1" si="318"/>
        <v>0.11901044659493598</v>
      </c>
      <c r="N565" s="28" t="s">
        <v>31</v>
      </c>
      <c r="O565" s="27" t="s">
        <v>32</v>
      </c>
      <c r="P565" s="28" t="s">
        <v>32</v>
      </c>
      <c r="Q565" s="111">
        <f>(I565*25)/4</f>
        <v>0.43750000000000006</v>
      </c>
      <c r="R565" s="64">
        <v>46341</v>
      </c>
      <c r="S565" s="28" t="s">
        <v>41</v>
      </c>
      <c r="T565" s="62" t="s">
        <v>33</v>
      </c>
      <c r="U565" s="16">
        <f t="shared" ca="1" si="285"/>
        <v>1.3506849315068492</v>
      </c>
      <c r="V565" s="11" t="str">
        <v>All</v>
      </c>
      <c r="X565">
        <f t="shared" ca="1" si="290"/>
        <v>0.10106749026097284</v>
      </c>
      <c r="Z565" s="17">
        <f t="shared" ca="1" si="291"/>
        <v>46213</v>
      </c>
      <c r="AG565" s="33">
        <f t="shared" ca="1" si="292"/>
        <v>8.604842336935975E-2</v>
      </c>
      <c r="AH565">
        <f t="shared" ca="1" si="293"/>
        <v>7.7095949644017225E-2</v>
      </c>
      <c r="AI565">
        <f t="shared" ca="1" si="294"/>
        <v>7.5409748583989342E-2</v>
      </c>
      <c r="AJ565">
        <f t="shared" ca="1" si="295"/>
        <v>7.4162255675935818E-2</v>
      </c>
      <c r="AK565">
        <f t="shared" ca="1" si="296"/>
        <v>7.278299471733829E-2</v>
      </c>
    </row>
    <row r="566" spans="1:37" ht="17.25" customHeight="1">
      <c r="A566" s="19"/>
      <c r="B566" s="45" t="s">
        <v>442</v>
      </c>
      <c r="C566" s="36" t="s">
        <v>35</v>
      </c>
      <c r="D566" s="36" t="s">
        <v>27</v>
      </c>
      <c r="E566" s="28" t="s">
        <v>44</v>
      </c>
      <c r="F566" s="36" t="s">
        <v>443</v>
      </c>
      <c r="G566" s="21" t="s">
        <v>38</v>
      </c>
      <c r="H566" s="51" t="str">
        <f>HYPERLINK("https://innovativeincomeinvestor.com/security/rithm-property-trust-9-875/","RPT-C")</f>
        <v>RPT-C</v>
      </c>
      <c r="I566" s="85">
        <v>9.8750000000000004E-2</v>
      </c>
      <c r="J566" s="198">
        <f ca="1">IFERROR(__xludf.DUMMYFUNCTION("GoogleFinance(H566)"),25.04)</f>
        <v>25.04</v>
      </c>
      <c r="K566" s="26">
        <f ca="1">IFERROR(__xludf.DUMMYFUNCTION("GOOGLEFINANCE(H566,""change"")"),0.02)</f>
        <v>0.02</v>
      </c>
      <c r="L566" s="27">
        <f t="shared" ca="1" si="319"/>
        <v>9.8562300319488816E-2</v>
      </c>
      <c r="M566" s="27" t="e">
        <f t="shared" ca="1" si="318"/>
        <v>#DIV/0!</v>
      </c>
      <c r="N566" s="28" t="s">
        <v>31</v>
      </c>
      <c r="O566" s="27" t="s">
        <v>32</v>
      </c>
      <c r="P566" s="28" t="s">
        <v>32</v>
      </c>
      <c r="Q566" s="29">
        <v>0.61699999999999999</v>
      </c>
      <c r="R566" s="53">
        <v>47618</v>
      </c>
      <c r="S566" s="36" t="s">
        <v>41</v>
      </c>
      <c r="T566" s="50" t="s">
        <v>33</v>
      </c>
      <c r="U566" s="16"/>
      <c r="V566" s="11" t="str">
        <v>All</v>
      </c>
      <c r="X566">
        <f t="shared" ca="1" si="290"/>
        <v>9.7051785079641878E-2</v>
      </c>
      <c r="Z566" s="17">
        <f t="shared" ca="1" si="291"/>
        <v>46213</v>
      </c>
      <c r="AG566" s="33">
        <f t="shared" ca="1" si="292"/>
        <v>9.7859444447631977E-2</v>
      </c>
      <c r="AH566">
        <f t="shared" ca="1" si="293"/>
        <v>9.8340050455921507E-2</v>
      </c>
      <c r="AI566">
        <f t="shared" ca="1" si="294"/>
        <v>9.8429546875199808E-2</v>
      </c>
      <c r="AJ566">
        <f t="shared" ca="1" si="295"/>
        <v>9.8495547723386201E-2</v>
      </c>
      <c r="AK566">
        <f t="shared" ca="1" si="296"/>
        <v>9.8564210998405302E-2</v>
      </c>
    </row>
    <row r="567" spans="1:37" ht="17.25" customHeight="1">
      <c r="A567" s="19"/>
      <c r="B567" s="45" t="s">
        <v>444</v>
      </c>
      <c r="C567" s="36" t="s">
        <v>35</v>
      </c>
      <c r="D567" s="36" t="s">
        <v>36</v>
      </c>
      <c r="E567" s="28" t="s">
        <v>37</v>
      </c>
      <c r="F567" s="36" t="s">
        <v>29</v>
      </c>
      <c r="G567" s="21" t="s">
        <v>177</v>
      </c>
      <c r="H567" s="66" t="str">
        <f>HYPERLINK("https://innovativeincomeinvestor.com/security/rivernorth-marketplace-lending-corporation-5-875-series-a-term-preferred-stock-due-2024/","RMPL-")</f>
        <v>RMPL-</v>
      </c>
      <c r="I567" s="85">
        <v>5.8749999999999997E-2</v>
      </c>
      <c r="J567" s="228" t="s">
        <v>445</v>
      </c>
      <c r="K567" s="229" t="s">
        <v>445</v>
      </c>
      <c r="L567" s="229" t="s">
        <v>445</v>
      </c>
      <c r="M567" s="229" t="s">
        <v>445</v>
      </c>
      <c r="N567" s="28" t="s">
        <v>31</v>
      </c>
      <c r="O567" s="27" t="s">
        <v>32</v>
      </c>
      <c r="P567" s="27" t="s">
        <v>32</v>
      </c>
      <c r="Q567" s="29">
        <f>(I567*25)/4</f>
        <v>0.3671875</v>
      </c>
      <c r="R567" s="53">
        <v>44135</v>
      </c>
      <c r="S567" s="61">
        <v>45596</v>
      </c>
      <c r="T567" s="50" t="s">
        <v>33</v>
      </c>
      <c r="U567" s="16">
        <f t="shared" ref="U567:U570" ca="1" si="320">(R567-TODAY())/365</f>
        <v>-4.6931506849315072</v>
      </c>
      <c r="V567" s="11" t="str">
        <v>All</v>
      </c>
      <c r="X567" t="e">
        <f t="shared" ca="1" si="290"/>
        <v>#VALUE!</v>
      </c>
      <c r="Z567" s="17">
        <f t="shared" ca="1" si="291"/>
        <v>46213</v>
      </c>
      <c r="AG567" s="33" t="e">
        <f t="shared" ca="1" si="292"/>
        <v>#VALUE!</v>
      </c>
      <c r="AH567" t="e">
        <f t="shared" ca="1" si="293"/>
        <v>#VALUE!</v>
      </c>
      <c r="AI567" t="e">
        <f t="shared" ca="1" si="294"/>
        <v>#VALUE!</v>
      </c>
      <c r="AJ567" t="e">
        <f t="shared" ca="1" si="295"/>
        <v>#VALUE!</v>
      </c>
      <c r="AK567" t="e">
        <f t="shared" ca="1" si="296"/>
        <v>#VALUE!</v>
      </c>
    </row>
    <row r="568" spans="1:37" ht="17.25" customHeight="1">
      <c r="A568" s="19"/>
      <c r="B568" s="45" t="s">
        <v>446</v>
      </c>
      <c r="C568" s="28" t="s">
        <v>35</v>
      </c>
      <c r="D568" s="28" t="s">
        <v>36</v>
      </c>
      <c r="E568" s="28" t="s">
        <v>37</v>
      </c>
      <c r="F568" s="28" t="s">
        <v>29</v>
      </c>
      <c r="G568" s="21" t="s">
        <v>38</v>
      </c>
      <c r="H568" s="23" t="str">
        <f>HYPERLINK("https://innovativeincomeinvestor.com/security/rivernorth-opportunities-fund-6-00-series-a-perpetual-preferred-stock/","RIV-A")</f>
        <v>RIV-A</v>
      </c>
      <c r="I568" s="85">
        <v>0.06</v>
      </c>
      <c r="J568" s="25">
        <f ca="1">IFERROR(__xludf.DUMMYFUNCTION("GoogleFinance(H568)"),23.31)</f>
        <v>23.31</v>
      </c>
      <c r="K568" s="149">
        <f ca="1">IFERROR(__xludf.DUMMYFUNCTION("googlefinance(H568,""change"")"),0.01)</f>
        <v>0.01</v>
      </c>
      <c r="L568" s="108">
        <f t="shared" ref="L568:L573" ca="1" si="321">(Q568*4)/J568</f>
        <v>6.4350064350064351E-2</v>
      </c>
      <c r="M568" s="108">
        <f t="shared" ref="M568:M570" ca="1" si="322">L568*U568+(25-J568)/25/U568</f>
        <v>0.15543555072025461</v>
      </c>
      <c r="N568" s="28" t="s">
        <v>39</v>
      </c>
      <c r="O568" s="27" t="s">
        <v>32</v>
      </c>
      <c r="P568" s="28" t="s">
        <v>129</v>
      </c>
      <c r="Q568" s="29">
        <v>0.375</v>
      </c>
      <c r="R568" s="61">
        <v>46522</v>
      </c>
      <c r="S568" s="54" t="s">
        <v>41</v>
      </c>
      <c r="T568" s="50" t="s">
        <v>33</v>
      </c>
      <c r="U568" s="16">
        <f t="shared" ca="1" si="320"/>
        <v>1.8465753424657534</v>
      </c>
      <c r="V568" s="11" t="str">
        <v>All</v>
      </c>
      <c r="X568">
        <f t="shared" ca="1" si="290"/>
        <v>0.13332531335260348</v>
      </c>
      <c r="Z568" s="17">
        <f t="shared" ca="1" si="291"/>
        <v>46213</v>
      </c>
      <c r="AG568" s="33">
        <f t="shared" ca="1" si="292"/>
        <v>9.7616203212908786E-2</v>
      </c>
      <c r="AH568">
        <f t="shared" ca="1" si="293"/>
        <v>7.6400644323856862E-2</v>
      </c>
      <c r="AI568">
        <f t="shared" ca="1" si="294"/>
        <v>7.2402541705378382E-2</v>
      </c>
      <c r="AJ568">
        <f t="shared" ca="1" si="295"/>
        <v>6.9435859251962995E-2</v>
      </c>
      <c r="AK568">
        <f t="shared" ca="1" si="296"/>
        <v>6.6119230655953473E-2</v>
      </c>
    </row>
    <row r="569" spans="1:37" ht="17.25" customHeight="1">
      <c r="A569" s="19"/>
      <c r="B569" s="45" t="s">
        <v>447</v>
      </c>
      <c r="C569" s="28" t="s">
        <v>35</v>
      </c>
      <c r="D569" s="28" t="s">
        <v>36</v>
      </c>
      <c r="E569" s="28" t="s">
        <v>37</v>
      </c>
      <c r="F569" s="28" t="s">
        <v>29</v>
      </c>
      <c r="G569" s="21" t="s">
        <v>38</v>
      </c>
      <c r="H569" s="51" t="str">
        <f>HYPERLINK("https://innovativeincomeinvestor.com/security/rivernorth-doubleline-strategic-opportunity-fund-inc-4-375-series-a-cumulative-preferred-stock/","OPP-A")</f>
        <v>OPP-A</v>
      </c>
      <c r="I569" s="85">
        <v>4.3749999999999997E-2</v>
      </c>
      <c r="J569" s="25">
        <f ca="1">IFERROR(__xludf.DUMMYFUNCTION("GoogleFinance(H569)"),17)</f>
        <v>17</v>
      </c>
      <c r="K569" s="67">
        <f ca="1">IFERROR(__xludf.DUMMYFUNCTION("googlefinance(H569,""change"")"),-0.13)</f>
        <v>-0.13</v>
      </c>
      <c r="L569" s="27">
        <f t="shared" ca="1" si="321"/>
        <v>6.4338235294117641E-2</v>
      </c>
      <c r="M569" s="27">
        <f t="shared" ca="1" si="322"/>
        <v>0.93506244963738916</v>
      </c>
      <c r="N569" s="28" t="s">
        <v>39</v>
      </c>
      <c r="O569" s="27" t="s">
        <v>32</v>
      </c>
      <c r="P569" s="28" t="s">
        <v>129</v>
      </c>
      <c r="Q569" s="29">
        <f>(I569*25)/4</f>
        <v>0.2734375</v>
      </c>
      <c r="R569" s="61">
        <v>45976</v>
      </c>
      <c r="S569" s="54" t="s">
        <v>41</v>
      </c>
      <c r="T569" s="50" t="s">
        <v>33</v>
      </c>
      <c r="U569" s="16">
        <f t="shared" ca="1" si="320"/>
        <v>0.35068493150684932</v>
      </c>
      <c r="V569" s="11" t="str">
        <v>All</v>
      </c>
      <c r="X569">
        <f t="shared" ca="1" si="290"/>
        <v>0.46095076146512748</v>
      </c>
      <c r="Z569" s="17">
        <f t="shared" ca="1" si="291"/>
        <v>46213</v>
      </c>
      <c r="AG569" s="33">
        <f t="shared" ca="1" si="292"/>
        <v>0.2524153357253579</v>
      </c>
      <c r="AH569">
        <f t="shared" ca="1" si="293"/>
        <v>0.13228120095314538</v>
      </c>
      <c r="AI569">
        <f t="shared" ca="1" si="294"/>
        <v>0.10991378853463103</v>
      </c>
      <c r="AJ569">
        <f t="shared" ca="1" si="295"/>
        <v>9.3336620441239804E-2</v>
      </c>
      <c r="AK569">
        <f t="shared" ca="1" si="296"/>
        <v>7.4707921331550256E-2</v>
      </c>
    </row>
    <row r="570" spans="1:37" ht="17.25" customHeight="1">
      <c r="A570" s="19"/>
      <c r="B570" s="45" t="s">
        <v>447</v>
      </c>
      <c r="C570" s="28" t="s">
        <v>35</v>
      </c>
      <c r="D570" s="28" t="s">
        <v>36</v>
      </c>
      <c r="E570" s="28" t="s">
        <v>37</v>
      </c>
      <c r="F570" s="28" t="s">
        <v>29</v>
      </c>
      <c r="G570" s="21" t="s">
        <v>38</v>
      </c>
      <c r="H570" s="23" t="str">
        <f>HYPERLINK("https://innovativeincomeinvestor.com/security/rivernorth-doubleine-strategic-opportunity-fund-inc-4-75-series-b-cumulative-preferred-stock/","OPP-B")</f>
        <v>OPP-B</v>
      </c>
      <c r="I570" s="85">
        <v>4.7500000000000001E-2</v>
      </c>
      <c r="J570" s="65">
        <f ca="1">IFERROR(__xludf.DUMMYFUNCTION("GoogleFinance(H570)"),18.54)</f>
        <v>18.54</v>
      </c>
      <c r="K570" s="67">
        <f ca="1">IFERROR(__xludf.DUMMYFUNCTION("googlefinance(H570,""change"")"),-0.04)</f>
        <v>-0.04</v>
      </c>
      <c r="L570" s="27">
        <f t="shared" ca="1" si="321"/>
        <v>6.4724919093851127E-2</v>
      </c>
      <c r="M570" s="27">
        <f t="shared" ca="1" si="322"/>
        <v>0.26496113071955607</v>
      </c>
      <c r="N570" s="28" t="s">
        <v>39</v>
      </c>
      <c r="O570" s="27" t="s">
        <v>32</v>
      </c>
      <c r="P570" s="28" t="s">
        <v>129</v>
      </c>
      <c r="Q570" s="29">
        <v>0.3</v>
      </c>
      <c r="R570" s="61">
        <v>46433</v>
      </c>
      <c r="S570" s="54" t="s">
        <v>41</v>
      </c>
      <c r="T570" s="50" t="s">
        <v>33</v>
      </c>
      <c r="U570" s="16">
        <f t="shared" ca="1" si="320"/>
        <v>1.6027397260273972</v>
      </c>
      <c r="V570" s="11" t="str">
        <v>All</v>
      </c>
      <c r="X570">
        <f t="shared" ca="1" si="290"/>
        <v>0.36792919234853361</v>
      </c>
      <c r="Z570" s="17">
        <f t="shared" ca="1" si="291"/>
        <v>46213</v>
      </c>
      <c r="AG570" s="33">
        <f t="shared" ca="1" si="292"/>
        <v>0.2088545320634087</v>
      </c>
      <c r="AH570">
        <f t="shared" ca="1" si="293"/>
        <v>0.11643000941515722</v>
      </c>
      <c r="AI570">
        <f t="shared" ca="1" si="294"/>
        <v>9.9162460220362666E-2</v>
      </c>
      <c r="AJ570">
        <f t="shared" ca="1" si="295"/>
        <v>8.6358544810668958E-2</v>
      </c>
      <c r="AK570">
        <f t="shared" ca="1" si="296"/>
        <v>7.1983429061305088E-2</v>
      </c>
    </row>
    <row r="571" spans="1:37" ht="17.25" customHeight="1">
      <c r="A571" s="19"/>
      <c r="B571" s="45" t="s">
        <v>448</v>
      </c>
      <c r="C571" s="28" t="s">
        <v>35</v>
      </c>
      <c r="D571" s="28" t="s">
        <v>27</v>
      </c>
      <c r="E571" s="28" t="s">
        <v>106</v>
      </c>
      <c r="F571" s="28" t="s">
        <v>29</v>
      </c>
      <c r="G571" s="21" t="s">
        <v>317</v>
      </c>
      <c r="H571" s="66" t="str">
        <f>HYPERLINK("https://innovativeincomeinvestor.com/security/rlj-lodging-1-95-series-a-cumulative-convertible-preferred-shares/","RLJ-A")</f>
        <v>RLJ-A</v>
      </c>
      <c r="I571" s="85">
        <v>7.8E-2</v>
      </c>
      <c r="J571" s="65">
        <f ca="1">IFERROR(__xludf.DUMMYFUNCTION("GoogleFinance(H571)"),24.16)</f>
        <v>24.16</v>
      </c>
      <c r="K571" s="48">
        <f ca="1">IFERROR(__xludf.DUMMYFUNCTION("googlefinance(H571,""change"")"),-0.05)</f>
        <v>-0.05</v>
      </c>
      <c r="L571" s="27">
        <f t="shared" ca="1" si="321"/>
        <v>8.071192052980132E-2</v>
      </c>
      <c r="M571" s="28" t="s">
        <v>49</v>
      </c>
      <c r="N571" s="28" t="s">
        <v>31</v>
      </c>
      <c r="O571" s="27" t="s">
        <v>32</v>
      </c>
      <c r="P571" s="27" t="s">
        <v>32</v>
      </c>
      <c r="Q571" s="29">
        <f t="shared" ref="Q571:Q577" si="323">(I571*25)/4</f>
        <v>0.48749999999999999</v>
      </c>
      <c r="R571" s="36" t="s">
        <v>41</v>
      </c>
      <c r="S571" s="54" t="s">
        <v>41</v>
      </c>
      <c r="T571" s="50" t="s">
        <v>79</v>
      </c>
      <c r="U571" s="16" t="s">
        <v>0</v>
      </c>
      <c r="V571" s="11" t="str">
        <v>All</v>
      </c>
      <c r="X571">
        <f t="shared" ca="1" si="290"/>
        <v>0.11402823946013799</v>
      </c>
      <c r="Z571" s="17">
        <f t="shared" ca="1" si="291"/>
        <v>46213</v>
      </c>
      <c r="AG571" s="33">
        <f t="shared" ca="1" si="292"/>
        <v>9.6678095206558665E-2</v>
      </c>
      <c r="AH571">
        <f t="shared" ca="1" si="293"/>
        <v>8.6349054036134271E-2</v>
      </c>
      <c r="AI571">
        <f t="shared" ca="1" si="294"/>
        <v>8.4408854494733593E-2</v>
      </c>
      <c r="AJ571">
        <f t="shared" ca="1" si="295"/>
        <v>8.2978623442772612E-2</v>
      </c>
      <c r="AK571">
        <f t="shared" ca="1" si="296"/>
        <v>8.1417251635173882E-2</v>
      </c>
    </row>
    <row r="572" spans="1:37" ht="17.25" customHeight="1">
      <c r="A572" s="19"/>
      <c r="B572" s="45" t="s">
        <v>449</v>
      </c>
      <c r="C572" s="28" t="s">
        <v>27</v>
      </c>
      <c r="D572" s="28" t="s">
        <v>27</v>
      </c>
      <c r="E572" s="28" t="s">
        <v>171</v>
      </c>
      <c r="F572" s="28" t="s">
        <v>29</v>
      </c>
      <c r="G572" s="21" t="s">
        <v>30</v>
      </c>
      <c r="H572" s="83" t="str">
        <f>HYPERLINK("https://innovativeincomeinvestor.com/security/runway-growth-finance-corporation-7-50-notes-due-2027/","RWAYL")</f>
        <v>RWAYL</v>
      </c>
      <c r="I572" s="85">
        <v>7.4999999999999997E-2</v>
      </c>
      <c r="J572" s="65">
        <f ca="1">IFERROR(__xludf.DUMMYFUNCTION("GoogleFinance(H572)"),25.08)</f>
        <v>25.08</v>
      </c>
      <c r="K572" s="48">
        <f ca="1">IFERROR(__xludf.DUMMYFUNCTION("googlefinance(H572,""change"")"),0)</f>
        <v>0</v>
      </c>
      <c r="L572" s="27">
        <f t="shared" ca="1" si="321"/>
        <v>7.4760765550239236E-2</v>
      </c>
      <c r="M572" s="27">
        <f t="shared" ref="M572:M573" ca="1" si="324">L572*U572+(25-J572)/25/U572</f>
        <v>-6.7707939040217643E-2</v>
      </c>
      <c r="N572" s="28" t="s">
        <v>31</v>
      </c>
      <c r="O572" s="27" t="s">
        <v>32</v>
      </c>
      <c r="P572" s="27" t="s">
        <v>32</v>
      </c>
      <c r="Q572" s="29">
        <f t="shared" si="323"/>
        <v>0.46875</v>
      </c>
      <c r="R572" s="61">
        <v>45501</v>
      </c>
      <c r="S572" s="61">
        <v>46596</v>
      </c>
      <c r="T572" s="50" t="s">
        <v>81</v>
      </c>
      <c r="U572" s="16">
        <f t="shared" ref="U572:U601" ca="1" si="325">(R572-TODAY())/365</f>
        <v>-0.9506849315068493</v>
      </c>
      <c r="V572" s="11" t="str">
        <v>All</v>
      </c>
      <c r="X572">
        <f t="shared" ca="1" si="290"/>
        <v>7.1655417016739928E-2</v>
      </c>
      <c r="Z572" s="17">
        <f t="shared" ca="1" si="291"/>
        <v>46213</v>
      </c>
      <c r="AG572" s="33">
        <f t="shared" ca="1" si="292"/>
        <v>7.3265330798916256E-2</v>
      </c>
      <c r="AH572">
        <f t="shared" ca="1" si="293"/>
        <v>7.4227243094810783E-2</v>
      </c>
      <c r="AI572">
        <f t="shared" ca="1" si="294"/>
        <v>7.4408320316030979E-2</v>
      </c>
      <c r="AJ572">
        <f t="shared" ca="1" si="295"/>
        <v>7.454250293500457E-2</v>
      </c>
      <c r="AK572">
        <f t="shared" ca="1" si="296"/>
        <v>7.4689580938792424E-2</v>
      </c>
    </row>
    <row r="573" spans="1:37" ht="17.25" customHeight="1">
      <c r="A573" s="19"/>
      <c r="B573" s="45" t="s">
        <v>449</v>
      </c>
      <c r="C573" s="28" t="s">
        <v>27</v>
      </c>
      <c r="D573" s="28" t="s">
        <v>27</v>
      </c>
      <c r="E573" s="28" t="s">
        <v>171</v>
      </c>
      <c r="F573" s="28" t="s">
        <v>29</v>
      </c>
      <c r="G573" s="21" t="s">
        <v>30</v>
      </c>
      <c r="H573" s="23" t="str">
        <f>HYPERLINK("https://innovativeincomeinvestor.com/security/runway-growth-finance-corporation-8-00-notes-due-2027/","RWAYZ")</f>
        <v>RWAYZ</v>
      </c>
      <c r="I573" s="85">
        <v>0.08</v>
      </c>
      <c r="J573" s="65">
        <f ca="1">IFERROR(__xludf.DUMMYFUNCTION("GoogleFinance(H573)"),25.28)</f>
        <v>25.28</v>
      </c>
      <c r="K573" s="48">
        <f ca="1">IFERROR(__xludf.DUMMYFUNCTION("googlefinance(H573,""change"")"),-0.07)</f>
        <v>-7.0000000000000007E-2</v>
      </c>
      <c r="L573" s="27">
        <f t="shared" ca="1" si="321"/>
        <v>7.9113924050632903E-2</v>
      </c>
      <c r="M573" s="27">
        <f t="shared" ca="1" si="324"/>
        <v>-1.9996199717293734E-2</v>
      </c>
      <c r="N573" s="28" t="s">
        <v>31</v>
      </c>
      <c r="O573" s="27" t="s">
        <v>32</v>
      </c>
      <c r="P573" s="27" t="s">
        <v>32</v>
      </c>
      <c r="Q573" s="29">
        <f t="shared" si="323"/>
        <v>0.5</v>
      </c>
      <c r="R573" s="61">
        <v>45657</v>
      </c>
      <c r="S573" s="61">
        <v>46752</v>
      </c>
      <c r="T573" s="50" t="s">
        <v>81</v>
      </c>
      <c r="U573" s="16">
        <f t="shared" ca="1" si="325"/>
        <v>-0.52328767123287667</v>
      </c>
      <c r="V573" s="11" t="str">
        <v>All</v>
      </c>
      <c r="X573">
        <f t="shared" ca="1" si="290"/>
        <v>6.8317726826655711E-2</v>
      </c>
      <c r="Z573" s="17">
        <f t="shared" ca="1" si="291"/>
        <v>46213</v>
      </c>
      <c r="AG573" s="33">
        <f t="shared" ca="1" si="292"/>
        <v>7.3924330411114111E-2</v>
      </c>
      <c r="AH573">
        <f t="shared" ca="1" si="293"/>
        <v>7.7276397453995477E-2</v>
      </c>
      <c r="AI573">
        <f t="shared" ca="1" si="294"/>
        <v>7.7907072784889231E-2</v>
      </c>
      <c r="AJ573">
        <f t="shared" ca="1" si="295"/>
        <v>7.8372755715709244E-2</v>
      </c>
      <c r="AK573">
        <f t="shared" ca="1" si="296"/>
        <v>7.8880827035840442E-2</v>
      </c>
    </row>
    <row r="574" spans="1:37" ht="17.25" customHeight="1">
      <c r="A574" s="19"/>
      <c r="B574" s="45" t="s">
        <v>450</v>
      </c>
      <c r="C574" s="28" t="s">
        <v>27</v>
      </c>
      <c r="D574" s="28" t="s">
        <v>27</v>
      </c>
      <c r="E574" s="28" t="s">
        <v>44</v>
      </c>
      <c r="F574" s="28" t="s">
        <v>29</v>
      </c>
      <c r="G574" s="21" t="s">
        <v>30</v>
      </c>
      <c r="H574" s="66" t="str">
        <f>HYPERLINK("https://innovativeincomeinvestor.com/security/sachem-capital-7-125-notes-due-2024/","SCCB")</f>
        <v>SCCB</v>
      </c>
      <c r="I574" s="85">
        <v>7.1249999999999994E-2</v>
      </c>
      <c r="J574" s="86" t="s">
        <v>68</v>
      </c>
      <c r="K574" s="86" t="s">
        <v>68</v>
      </c>
      <c r="L574" s="86" t="s">
        <v>68</v>
      </c>
      <c r="M574" s="86" t="s">
        <v>68</v>
      </c>
      <c r="N574" s="28" t="s">
        <v>31</v>
      </c>
      <c r="O574" s="27" t="s">
        <v>32</v>
      </c>
      <c r="P574" s="27" t="s">
        <v>32</v>
      </c>
      <c r="Q574" s="29">
        <f t="shared" si="323"/>
        <v>0.44531249999999994</v>
      </c>
      <c r="R574" s="61">
        <v>44377</v>
      </c>
      <c r="S574" s="61">
        <v>45473</v>
      </c>
      <c r="T574" s="50" t="s">
        <v>56</v>
      </c>
      <c r="U574" s="16">
        <f t="shared" ca="1" si="325"/>
        <v>-4.0301369863013701</v>
      </c>
      <c r="V574" s="11" t="str">
        <v>All</v>
      </c>
      <c r="X574" t="e">
        <f t="shared" ca="1" si="290"/>
        <v>#VALUE!</v>
      </c>
      <c r="Z574" s="17">
        <f t="shared" ca="1" si="291"/>
        <v>46213</v>
      </c>
      <c r="AG574" s="33" t="e">
        <f t="shared" ca="1" si="292"/>
        <v>#VALUE!</v>
      </c>
      <c r="AH574" t="e">
        <f t="shared" ca="1" si="293"/>
        <v>#VALUE!</v>
      </c>
      <c r="AI574" t="e">
        <f t="shared" ca="1" si="294"/>
        <v>#VALUE!</v>
      </c>
      <c r="AJ574" t="e">
        <f t="shared" ca="1" si="295"/>
        <v>#VALUE!</v>
      </c>
      <c r="AK574" t="e">
        <f t="shared" ca="1" si="296"/>
        <v>#VALUE!</v>
      </c>
    </row>
    <row r="575" spans="1:37" ht="17.25" customHeight="1">
      <c r="A575" s="19"/>
      <c r="B575" s="45" t="s">
        <v>450</v>
      </c>
      <c r="C575" s="36" t="s">
        <v>27</v>
      </c>
      <c r="D575" s="36" t="s">
        <v>27</v>
      </c>
      <c r="E575" s="28" t="s">
        <v>44</v>
      </c>
      <c r="F575" s="28" t="s">
        <v>29</v>
      </c>
      <c r="G575" s="21" t="s">
        <v>30</v>
      </c>
      <c r="H575" s="46" t="str">
        <f>HYPERLINK("https://innovativeincomeinvestor.com/security/sachem-capital-6-875-notes-due-2024/","SACC")</f>
        <v>SACC</v>
      </c>
      <c r="I575" s="85">
        <v>6.8750000000000006E-2</v>
      </c>
      <c r="J575" s="79" t="s">
        <v>68</v>
      </c>
      <c r="K575" s="79" t="s">
        <v>68</v>
      </c>
      <c r="L575" s="79" t="s">
        <v>68</v>
      </c>
      <c r="M575" s="108" t="e">
        <f t="shared" ref="M575:M576" si="326">(25-J575)/25</f>
        <v>#VALUE!</v>
      </c>
      <c r="N575" s="28" t="s">
        <v>31</v>
      </c>
      <c r="O575" s="27" t="s">
        <v>32</v>
      </c>
      <c r="P575" s="27" t="s">
        <v>32</v>
      </c>
      <c r="Q575" s="29">
        <f t="shared" si="323"/>
        <v>0.42968750000000006</v>
      </c>
      <c r="R575" s="61">
        <v>44507</v>
      </c>
      <c r="S575" s="61">
        <v>45656</v>
      </c>
      <c r="T575" s="50" t="s">
        <v>56</v>
      </c>
      <c r="U575" s="16">
        <f t="shared" ca="1" si="325"/>
        <v>-3.6739726027397261</v>
      </c>
      <c r="V575" s="11" t="str">
        <v>All</v>
      </c>
      <c r="X575" t="e">
        <f t="shared" ca="1" si="290"/>
        <v>#VALUE!</v>
      </c>
      <c r="Z575" s="17">
        <f t="shared" ca="1" si="291"/>
        <v>46213</v>
      </c>
      <c r="AG575" s="33" t="e">
        <f t="shared" ca="1" si="292"/>
        <v>#VALUE!</v>
      </c>
      <c r="AH575" t="e">
        <f t="shared" ca="1" si="293"/>
        <v>#VALUE!</v>
      </c>
      <c r="AI575" t="e">
        <f t="shared" ca="1" si="294"/>
        <v>#VALUE!</v>
      </c>
      <c r="AJ575" t="e">
        <f t="shared" ca="1" si="295"/>
        <v>#VALUE!</v>
      </c>
      <c r="AK575" t="e">
        <f t="shared" ca="1" si="296"/>
        <v>#VALUE!</v>
      </c>
    </row>
    <row r="576" spans="1:37" ht="17.25" customHeight="1">
      <c r="A576" s="19"/>
      <c r="B576" s="45" t="s">
        <v>450</v>
      </c>
      <c r="C576" s="36" t="s">
        <v>27</v>
      </c>
      <c r="D576" s="36" t="s">
        <v>27</v>
      </c>
      <c r="E576" s="28" t="s">
        <v>44</v>
      </c>
      <c r="F576" s="28" t="s">
        <v>29</v>
      </c>
      <c r="G576" s="21" t="s">
        <v>30</v>
      </c>
      <c r="H576" s="51" t="str">
        <f>HYPERLINK("https://innovativeincomeinvestor.com/?p=11740","SCCC")</f>
        <v>SCCC</v>
      </c>
      <c r="I576" s="85">
        <v>7.7499999999999999E-2</v>
      </c>
      <c r="J576" s="25">
        <f ca="1">IFERROR(__xludf.DUMMYFUNCTION("GoogleFinance(H576)"),25.02)</f>
        <v>25.02</v>
      </c>
      <c r="K576" s="107">
        <f ca="1">IFERROR(__xludf.DUMMYFUNCTION("googlefinance(H576,""change"")"),-0.03)</f>
        <v>-0.03</v>
      </c>
      <c r="L576" s="108">
        <f t="shared" ref="L576:L593" ca="1" si="327">(Q576*4)/J576</f>
        <v>7.7438049560351718E-2</v>
      </c>
      <c r="M576" s="27">
        <f t="shared" ca="1" si="326"/>
        <v>-7.9999999999998291E-4</v>
      </c>
      <c r="N576" s="28" t="s">
        <v>31</v>
      </c>
      <c r="O576" s="27" t="s">
        <v>32</v>
      </c>
      <c r="P576" s="28" t="s">
        <v>32</v>
      </c>
      <c r="Q576" s="29">
        <f t="shared" si="323"/>
        <v>0.484375</v>
      </c>
      <c r="R576" s="53">
        <v>44808</v>
      </c>
      <c r="S576" s="61">
        <v>45930</v>
      </c>
      <c r="T576" s="50" t="s">
        <v>56</v>
      </c>
      <c r="U576" s="16">
        <f t="shared" ca="1" si="325"/>
        <v>-2.8493150684931505</v>
      </c>
      <c r="V576" s="11" t="str">
        <v>All</v>
      </c>
      <c r="X576">
        <f t="shared" ca="1" si="290"/>
        <v>7.6661305517757419E-2</v>
      </c>
      <c r="Z576" s="17">
        <f t="shared" ca="1" si="291"/>
        <v>46213</v>
      </c>
      <c r="AG576" s="33">
        <f t="shared" ca="1" si="292"/>
        <v>7.7064549174325273E-2</v>
      </c>
      <c r="AH576">
        <f t="shared" ca="1" si="293"/>
        <v>7.7304986040132417E-2</v>
      </c>
      <c r="AI576">
        <f t="shared" ca="1" si="294"/>
        <v>7.7350081571238377E-2</v>
      </c>
      <c r="AJ576">
        <f t="shared" ca="1" si="295"/>
        <v>7.7383735003343113E-2</v>
      </c>
      <c r="AK576">
        <f t="shared" ca="1" si="296"/>
        <v>7.7420041895209291E-2</v>
      </c>
    </row>
    <row r="577" spans="1:37" ht="17.25" customHeight="1">
      <c r="A577" s="19"/>
      <c r="B577" s="45" t="s">
        <v>450</v>
      </c>
      <c r="C577" s="36" t="s">
        <v>35</v>
      </c>
      <c r="D577" s="36" t="s">
        <v>27</v>
      </c>
      <c r="E577" s="28" t="s">
        <v>44</v>
      </c>
      <c r="F577" s="28" t="s">
        <v>29</v>
      </c>
      <c r="G577" s="21" t="s">
        <v>38</v>
      </c>
      <c r="H577" s="55" t="str">
        <f>HYPERLINK("https://innovativeincomeinvestor.com/security/sachem-capital-corporation-7-75-series-a-redeemable-preferred-stock/","SACH-A")</f>
        <v>SACH-A</v>
      </c>
      <c r="I577" s="85">
        <v>7.7499999999999999E-2</v>
      </c>
      <c r="J577" s="65">
        <f ca="1">IFERROR(__xludf.DUMMYFUNCTION("GoogleFinance(H577)"),16)</f>
        <v>16</v>
      </c>
      <c r="K577" s="48">
        <f ca="1">IFERROR(__xludf.DUMMYFUNCTION("googlefinance(H577,""change"")"),0.44)</f>
        <v>0.44</v>
      </c>
      <c r="L577" s="27">
        <f t="shared" ca="1" si="327"/>
        <v>0.12109375</v>
      </c>
      <c r="M577" s="27">
        <f t="array" aca="1" ref="M577" ca="1">L577*U577+(25-J577)/25/U577</f>
        <v>0.48863078999303455</v>
      </c>
      <c r="N577" s="28" t="s">
        <v>31</v>
      </c>
      <c r="O577" s="27" t="s">
        <v>32</v>
      </c>
      <c r="P577" s="28" t="s">
        <v>32</v>
      </c>
      <c r="Q577" s="29">
        <f t="shared" si="323"/>
        <v>0.484375</v>
      </c>
      <c r="R577" s="53">
        <v>46202</v>
      </c>
      <c r="S577" s="54" t="s">
        <v>41</v>
      </c>
      <c r="T577" s="50" t="s">
        <v>56</v>
      </c>
      <c r="U577" s="16">
        <f t="shared" ca="1" si="325"/>
        <v>0.96986301369863015</v>
      </c>
      <c r="V577" s="11" t="str">
        <v>All</v>
      </c>
      <c r="X577">
        <f t="shared" ca="1" si="290"/>
        <v>0.57569598778483244</v>
      </c>
      <c r="Z577" s="17">
        <f t="shared" ca="1" si="291"/>
        <v>46213</v>
      </c>
      <c r="AG577" s="33">
        <f t="shared" ca="1" si="292"/>
        <v>0.33060909675355898</v>
      </c>
      <c r="AH577">
        <f t="shared" ca="1" si="293"/>
        <v>0.19085709610631121</v>
      </c>
      <c r="AI577">
        <f t="shared" ca="1" si="294"/>
        <v>0.16527228755970697</v>
      </c>
      <c r="AJ577">
        <f t="shared" ca="1" si="295"/>
        <v>0.14671301077887819</v>
      </c>
      <c r="AK577">
        <f t="shared" ca="1" si="296"/>
        <v>0.12744925139477714</v>
      </c>
    </row>
    <row r="578" spans="1:37" ht="17.25" customHeight="1">
      <c r="A578" s="19"/>
      <c r="B578" s="45" t="s">
        <v>450</v>
      </c>
      <c r="C578" s="36" t="s">
        <v>27</v>
      </c>
      <c r="D578" s="36" t="s">
        <v>27</v>
      </c>
      <c r="E578" s="28" t="s">
        <v>44</v>
      </c>
      <c r="F578" s="28" t="s">
        <v>29</v>
      </c>
      <c r="G578" s="21" t="s">
        <v>30</v>
      </c>
      <c r="H578" s="23" t="str">
        <f>HYPERLINK("https://innovativeincomeinvestor.com/security/sachem-capital-corporation-6-00-notes-due-2026/","SCCD")</f>
        <v>SCCD</v>
      </c>
      <c r="I578" s="85">
        <v>0.06</v>
      </c>
      <c r="J578" s="65">
        <f ca="1">IFERROR(__xludf.DUMMYFUNCTION("GoogleFinance(H578)"),22.25)</f>
        <v>22.25</v>
      </c>
      <c r="K578" s="48">
        <f ca="1">IFERROR(__xludf.DUMMYFUNCTION("googlefinance(H578,""change"")"),0)</f>
        <v>0</v>
      </c>
      <c r="L578" s="27">
        <f t="shared" ca="1" si="327"/>
        <v>6.8314606741573039E-2</v>
      </c>
      <c r="M578" s="27">
        <f ca="1">(25-J578)/25</f>
        <v>0.11</v>
      </c>
      <c r="N578" s="28" t="s">
        <v>31</v>
      </c>
      <c r="O578" s="27" t="s">
        <v>32</v>
      </c>
      <c r="P578" s="28" t="s">
        <v>32</v>
      </c>
      <c r="Q578" s="29">
        <v>0.38</v>
      </c>
      <c r="R578" s="53">
        <v>45189</v>
      </c>
      <c r="S578" s="61">
        <v>46295</v>
      </c>
      <c r="T578" s="50" t="s">
        <v>56</v>
      </c>
      <c r="U578" s="16">
        <f t="shared" ca="1" si="325"/>
        <v>-1.8054794520547945</v>
      </c>
      <c r="V578" s="11" t="str">
        <v>All</v>
      </c>
      <c r="X578">
        <f t="shared" ca="1" si="290"/>
        <v>0.18285186316512225</v>
      </c>
      <c r="Z578" s="17">
        <f t="shared" ca="1" si="291"/>
        <v>46213</v>
      </c>
      <c r="AG578" s="33">
        <f t="shared" ca="1" si="292"/>
        <v>0.12287071648436243</v>
      </c>
      <c r="AH578">
        <f t="shared" ca="1" si="293"/>
        <v>8.7403723326271054E-2</v>
      </c>
      <c r="AI578">
        <f t="shared" ca="1" si="294"/>
        <v>8.0736477633558956E-2</v>
      </c>
      <c r="AJ578">
        <f t="shared" ca="1" si="295"/>
        <v>7.5794913353161117E-2</v>
      </c>
      <c r="AK578">
        <f t="shared" ca="1" si="296"/>
        <v>7.028666011812662E-2</v>
      </c>
    </row>
    <row r="579" spans="1:37" ht="17.25" customHeight="1">
      <c r="A579" s="19"/>
      <c r="B579" s="45" t="s">
        <v>450</v>
      </c>
      <c r="C579" s="36" t="s">
        <v>27</v>
      </c>
      <c r="D579" s="36" t="s">
        <v>27</v>
      </c>
      <c r="E579" s="28" t="s">
        <v>44</v>
      </c>
      <c r="F579" s="28" t="s">
        <v>29</v>
      </c>
      <c r="G579" s="21" t="s">
        <v>30</v>
      </c>
      <c r="H579" s="23" t="str">
        <f>HYPERLINK("https://innovativeincomeinvestor.com/security/sachem-capital-corp-6-00-notes-due-2027/","SCCE")</f>
        <v>SCCE</v>
      </c>
      <c r="I579" s="85">
        <v>0.06</v>
      </c>
      <c r="J579" s="65">
        <f ca="1">IFERROR(__xludf.DUMMYFUNCTION("GoogleFinance(H579)"),19.6)</f>
        <v>19.600000000000001</v>
      </c>
      <c r="K579" s="48">
        <f ca="1">IFERROR(__xludf.DUMMYFUNCTION("googlefinance(H579,""change"")"),0.07)</f>
        <v>7.0000000000000007E-2</v>
      </c>
      <c r="L579" s="27">
        <f t="shared" ca="1" si="327"/>
        <v>7.7551020408163265E-2</v>
      </c>
      <c r="M579" s="27">
        <f t="shared" ref="M579:M580" ca="1" si="328">L579*U579+(25-J579)/25/U579</f>
        <v>-0.26524202899214921</v>
      </c>
      <c r="N579" s="28" t="s">
        <v>31</v>
      </c>
      <c r="O579" s="27" t="s">
        <v>32</v>
      </c>
      <c r="P579" s="28" t="s">
        <v>32</v>
      </c>
      <c r="Q579" s="29">
        <v>0.38</v>
      </c>
      <c r="R579" s="53">
        <v>45360</v>
      </c>
      <c r="S579" s="61">
        <v>46111</v>
      </c>
      <c r="T579" s="50" t="s">
        <v>56</v>
      </c>
      <c r="U579" s="16">
        <f t="shared" ca="1" si="325"/>
        <v>-1.3369863013698631</v>
      </c>
      <c r="V579" s="11" t="str">
        <v>All</v>
      </c>
      <c r="X579">
        <f t="shared" ref="X579:X642" ca="1" si="329">YIELD($W$1,Z579,I579,J579*4,100,4,0)</f>
        <v>0.32100555800854813</v>
      </c>
      <c r="Z579" s="17">
        <f t="shared" ref="Z579:Z642" ca="1" si="330">TODAY()+($Z$1*$Y$1)</f>
        <v>46213</v>
      </c>
      <c r="AG579" s="33">
        <f t="shared" ref="AG579:AG642" ca="1" si="331">YIELD($W$1,$AA$2,I579,J579*4,100,4,0)</f>
        <v>0.19269442405453832</v>
      </c>
      <c r="AH579">
        <f t="shared" ref="AH579:AH642" ca="1" si="332">YIELD($W$1,$AB$2,I579,J579*4,100,4,0)</f>
        <v>0.11780290859684575</v>
      </c>
      <c r="AI579">
        <f t="shared" ref="AI579:AI642" ca="1" si="333">YIELD($W$1,$AC$2,I579,J579*4,100,4,0)</f>
        <v>0.10382092633528001</v>
      </c>
      <c r="AJ579">
        <f t="shared" ref="AJ579:AJ642" ca="1" si="334">YIELD($W$1,$AD$2,I579,J579*4,100,4,0)</f>
        <v>9.3493005688932901E-2</v>
      </c>
      <c r="AK579">
        <f t="shared" ref="AK579:AK642" ca="1" si="335">YIELD($W$1,$AE$2,I579,J579*4,100,4,0)</f>
        <v>8.2082103708388601E-2</v>
      </c>
    </row>
    <row r="580" spans="1:37" ht="17.25" customHeight="1">
      <c r="A580" s="19"/>
      <c r="B580" s="45" t="s">
        <v>450</v>
      </c>
      <c r="C580" s="36" t="s">
        <v>27</v>
      </c>
      <c r="D580" s="36" t="s">
        <v>27</v>
      </c>
      <c r="E580" s="28" t="s">
        <v>44</v>
      </c>
      <c r="F580" s="28" t="s">
        <v>29</v>
      </c>
      <c r="G580" s="28" t="s">
        <v>30</v>
      </c>
      <c r="H580" s="83" t="str">
        <f>HYPERLINK("https://innovativeincomeinvestor.com/security/sachem-capital-corporation-7-125-notes-due-2027/","SCCF")</f>
        <v>SCCF</v>
      </c>
      <c r="I580" s="85">
        <v>7.1249999999999994E-2</v>
      </c>
      <c r="J580" s="65">
        <f ca="1">IFERROR(__xludf.DUMMYFUNCTION("GoogleFinance(H580)"),19.5)</f>
        <v>19.5</v>
      </c>
      <c r="K580" s="48">
        <f ca="1">IFERROR(__xludf.DUMMYFUNCTION("googlefinance(H580,""change"")"),0.18)</f>
        <v>0.18</v>
      </c>
      <c r="L580" s="27">
        <f t="shared" ca="1" si="327"/>
        <v>9.2307692307692313E-2</v>
      </c>
      <c r="M580" s="27">
        <f t="shared" ca="1" si="328"/>
        <v>-0.2964227360069423</v>
      </c>
      <c r="N580" s="28" t="s">
        <v>31</v>
      </c>
      <c r="O580" s="27" t="s">
        <v>32</v>
      </c>
      <c r="P580" s="28" t="s">
        <v>32</v>
      </c>
      <c r="Q580" s="29">
        <v>0.45</v>
      </c>
      <c r="R580" s="53">
        <v>45423</v>
      </c>
      <c r="S580" s="61">
        <v>46568</v>
      </c>
      <c r="T580" s="50" t="s">
        <v>56</v>
      </c>
      <c r="U580" s="16">
        <f t="shared" ca="1" si="325"/>
        <v>-1.1643835616438356</v>
      </c>
      <c r="V580" s="11" t="str">
        <v>All</v>
      </c>
      <c r="X580">
        <f t="shared" ca="1" si="329"/>
        <v>0.33988649551933869</v>
      </c>
      <c r="Z580" s="17">
        <f t="shared" ca="1" si="330"/>
        <v>46213</v>
      </c>
      <c r="AG580" s="33">
        <f t="shared" ca="1" si="331"/>
        <v>0.20858953394961383</v>
      </c>
      <c r="AH580">
        <f t="shared" ca="1" si="332"/>
        <v>0.13208787053772428</v>
      </c>
      <c r="AI580">
        <f t="shared" ca="1" si="333"/>
        <v>0.11786537124766061</v>
      </c>
      <c r="AJ580">
        <f t="shared" ca="1" si="334"/>
        <v>0.10742031034349805</v>
      </c>
      <c r="AK580">
        <f t="shared" ca="1" si="335"/>
        <v>9.6121798125871016E-2</v>
      </c>
    </row>
    <row r="581" spans="1:37" ht="17.25" customHeight="1">
      <c r="A581" s="19"/>
      <c r="B581" s="45" t="s">
        <v>450</v>
      </c>
      <c r="C581" s="36" t="s">
        <v>27</v>
      </c>
      <c r="D581" s="36" t="s">
        <v>27</v>
      </c>
      <c r="E581" s="28" t="s">
        <v>44</v>
      </c>
      <c r="F581" s="28" t="s">
        <v>29</v>
      </c>
      <c r="G581" s="28" t="s">
        <v>30</v>
      </c>
      <c r="H581" s="23" t="str">
        <f>HYPERLINK("https://innovativeincomeinvestor.com/security/sachem-capital-corp-8-00-notes-due-2027/","SCCG")</f>
        <v>SCCG</v>
      </c>
      <c r="I581" s="85">
        <v>0.08</v>
      </c>
      <c r="J581" s="65">
        <f ca="1">IFERROR(__xludf.DUMMYFUNCTION("GoogleFinance(H581)"),19.56)</f>
        <v>19.559999999999999</v>
      </c>
      <c r="K581" s="48">
        <f ca="1">IFERROR(__xludf.DUMMYFUNCTION("googlefinance(H581,""change"")"),0.11)</f>
        <v>0.11</v>
      </c>
      <c r="L581" s="27">
        <f t="shared" ca="1" si="327"/>
        <v>0.10224948875255624</v>
      </c>
      <c r="M581" s="27">
        <f t="shared" ref="M581:M583" ca="1" si="336">(25-J581)/25</f>
        <v>0.21760000000000004</v>
      </c>
      <c r="N581" s="28" t="s">
        <v>31</v>
      </c>
      <c r="O581" s="27" t="s">
        <v>32</v>
      </c>
      <c r="P581" s="28" t="s">
        <v>32</v>
      </c>
      <c r="Q581" s="29">
        <v>0.5</v>
      </c>
      <c r="R581" s="53">
        <v>45527</v>
      </c>
      <c r="S581" s="61">
        <v>46660</v>
      </c>
      <c r="T581" s="50" t="s">
        <v>56</v>
      </c>
      <c r="U581" s="16">
        <f t="shared" ca="1" si="325"/>
        <v>-0.8794520547945206</v>
      </c>
      <c r="V581" s="11" t="str">
        <v>All</v>
      </c>
      <c r="X581">
        <f t="shared" ca="1" si="329"/>
        <v>0.34670825161678653</v>
      </c>
      <c r="Z581" s="17">
        <f t="shared" ca="1" si="330"/>
        <v>46213</v>
      </c>
      <c r="AG581" s="33">
        <f t="shared" ca="1" si="331"/>
        <v>0.21699181053224917</v>
      </c>
      <c r="AH581">
        <f t="shared" ca="1" si="332"/>
        <v>0.14146847091377004</v>
      </c>
      <c r="AI581">
        <f t="shared" ca="1" si="333"/>
        <v>0.12747454712464037</v>
      </c>
      <c r="AJ581">
        <f t="shared" ca="1" si="334"/>
        <v>0.11724782504853845</v>
      </c>
      <c r="AK581">
        <f t="shared" ca="1" si="335"/>
        <v>0.1063835836201209</v>
      </c>
    </row>
    <row r="582" spans="1:37" ht="17.25" customHeight="1">
      <c r="A582" s="19"/>
      <c r="B582" s="45" t="s">
        <v>451</v>
      </c>
      <c r="C582" s="36" t="s">
        <v>35</v>
      </c>
      <c r="D582" s="36" t="s">
        <v>35</v>
      </c>
      <c r="E582" s="28" t="s">
        <v>119</v>
      </c>
      <c r="F582" s="28" t="s">
        <v>29</v>
      </c>
      <c r="G582" s="28" t="s">
        <v>38</v>
      </c>
      <c r="H582" s="51" t="str">
        <f>HYPERLINK("https://innovativeincomeinvestor.com/security/safe-bulkers-8-00-series-c-cumulative-redeemable-perpetual-preferred-shares/","SB-C")</f>
        <v>SB-C</v>
      </c>
      <c r="I582" s="85">
        <v>0.08</v>
      </c>
      <c r="J582" s="65">
        <f ca="1">IFERROR(__xludf.DUMMYFUNCTION("GoogleFinance(H582)"),26.19)</f>
        <v>26.19</v>
      </c>
      <c r="K582" s="48">
        <f ca="1">IFERROR(__xludf.DUMMYFUNCTION("googlefinance(H582,""change"")"),0.15)</f>
        <v>0.15</v>
      </c>
      <c r="L582" s="27">
        <f t="shared" ca="1" si="327"/>
        <v>7.6365024818633068E-2</v>
      </c>
      <c r="M582" s="27">
        <f t="shared" ca="1" si="336"/>
        <v>-4.7600000000000052E-2</v>
      </c>
      <c r="N582" s="28" t="s">
        <v>31</v>
      </c>
      <c r="O582" s="27" t="s">
        <v>32</v>
      </c>
      <c r="P582" s="27" t="s">
        <v>32</v>
      </c>
      <c r="Q582" s="29">
        <f t="shared" ref="Q582:Q590" si="337">(I582*25)/4</f>
        <v>0.5</v>
      </c>
      <c r="R582" s="53">
        <v>43616</v>
      </c>
      <c r="S582" s="54" t="s">
        <v>41</v>
      </c>
      <c r="T582" s="50" t="s">
        <v>45</v>
      </c>
      <c r="U582" s="16">
        <f t="shared" ca="1" si="325"/>
        <v>-6.1150684931506847</v>
      </c>
      <c r="V582" s="11" t="str">
        <v>All</v>
      </c>
      <c r="X582">
        <f t="shared" ca="1" si="329"/>
        <v>3.146038728589666E-2</v>
      </c>
      <c r="Z582" s="17">
        <f t="shared" ca="1" si="330"/>
        <v>46213</v>
      </c>
      <c r="AG582" s="33">
        <f t="shared" ca="1" si="331"/>
        <v>5.4711876086951966E-2</v>
      </c>
      <c r="AH582">
        <f t="shared" ca="1" si="332"/>
        <v>6.8665996225290807E-2</v>
      </c>
      <c r="AI582">
        <f t="shared" ca="1" si="333"/>
        <v>7.1297324112936766E-2</v>
      </c>
      <c r="AJ582">
        <f t="shared" ca="1" si="334"/>
        <v>7.3241266689224954E-2</v>
      </c>
      <c r="AK582">
        <f t="shared" ca="1" si="335"/>
        <v>7.537076331086473E-2</v>
      </c>
    </row>
    <row r="583" spans="1:37" ht="17.25" customHeight="1">
      <c r="A583" s="19"/>
      <c r="B583" s="45" t="s">
        <v>451</v>
      </c>
      <c r="C583" s="36" t="s">
        <v>35</v>
      </c>
      <c r="D583" s="36" t="s">
        <v>35</v>
      </c>
      <c r="E583" s="28" t="s">
        <v>119</v>
      </c>
      <c r="F583" s="28" t="s">
        <v>29</v>
      </c>
      <c r="G583" s="28" t="s">
        <v>38</v>
      </c>
      <c r="H583" s="51" t="str">
        <f>HYPERLINK("https://innovativeincomeinvestor.com/security/safe-bulkers-8-00-series-d-cumulative-redeemable-perpetual-preferred-shares/","SB-D")</f>
        <v>SB-D</v>
      </c>
      <c r="I583" s="85">
        <v>0.08</v>
      </c>
      <c r="J583" s="65">
        <f ca="1">IFERROR(__xludf.DUMMYFUNCTION("GoogleFinance(H583)"),25.52)</f>
        <v>25.52</v>
      </c>
      <c r="K583" s="48">
        <f ca="1">IFERROR(__xludf.DUMMYFUNCTION("googlefinance(H583,""change"")"),-0.08)</f>
        <v>-0.08</v>
      </c>
      <c r="L583" s="27">
        <f t="shared" ca="1" si="327"/>
        <v>7.8369905956112859E-2</v>
      </c>
      <c r="M583" s="27">
        <f t="shared" ca="1" si="336"/>
        <v>-2.0799999999999982E-2</v>
      </c>
      <c r="N583" s="28" t="s">
        <v>31</v>
      </c>
      <c r="O583" s="27" t="s">
        <v>32</v>
      </c>
      <c r="P583" s="27" t="s">
        <v>32</v>
      </c>
      <c r="Q583" s="29">
        <f t="shared" si="337"/>
        <v>0.5</v>
      </c>
      <c r="R583" s="53">
        <v>43646</v>
      </c>
      <c r="S583" s="54" t="s">
        <v>41</v>
      </c>
      <c r="T583" s="50" t="s">
        <v>45</v>
      </c>
      <c r="U583" s="16">
        <f t="shared" ca="1" si="325"/>
        <v>-6.0328767123287674</v>
      </c>
      <c r="V583" s="11" t="str">
        <v>All</v>
      </c>
      <c r="X583">
        <f t="shared" ca="1" si="329"/>
        <v>5.8434838789390375E-2</v>
      </c>
      <c r="Z583" s="17">
        <f t="shared" ca="1" si="330"/>
        <v>46213</v>
      </c>
      <c r="AG583" s="33">
        <f t="shared" ca="1" si="331"/>
        <v>6.8779281525378724E-2</v>
      </c>
      <c r="AH583">
        <f t="shared" ca="1" si="332"/>
        <v>7.4970493472948152E-2</v>
      </c>
      <c r="AI583">
        <f t="shared" ca="1" si="333"/>
        <v>7.6136127903803516E-2</v>
      </c>
      <c r="AJ583">
        <f t="shared" ca="1" si="334"/>
        <v>7.6996758646392729E-2</v>
      </c>
      <c r="AK583">
        <f t="shared" ca="1" si="335"/>
        <v>7.7937047191563552E-2</v>
      </c>
    </row>
    <row r="584" spans="1:37" ht="17.25" customHeight="1">
      <c r="A584" s="19"/>
      <c r="B584" s="45" t="s">
        <v>452</v>
      </c>
      <c r="C584" s="36" t="s">
        <v>27</v>
      </c>
      <c r="D584" s="36" t="s">
        <v>27</v>
      </c>
      <c r="E584" s="28" t="s">
        <v>171</v>
      </c>
      <c r="F584" s="28" t="s">
        <v>29</v>
      </c>
      <c r="G584" s="28" t="s">
        <v>30</v>
      </c>
      <c r="H584" s="83" t="str">
        <f>HYPERLINK("https://innovativeincomeinvestor.com/security/saratoga-investment-corporation-6-00-notes-due-2027/","SAT")</f>
        <v>SAT</v>
      </c>
      <c r="I584" s="47">
        <v>0.06</v>
      </c>
      <c r="J584" s="26">
        <f ca="1">IFERROR(__xludf.DUMMYFUNCTION("GOOGLEFINANCE(H584)"),24.6)</f>
        <v>24.6</v>
      </c>
      <c r="K584" s="26">
        <f ca="1">IFERROR(__xludf.DUMMYFUNCTION("GOOGLEFINANCE(H584,""change"")"),0)</f>
        <v>0</v>
      </c>
      <c r="L584" s="27">
        <f t="shared" ca="1" si="327"/>
        <v>6.097560975609756E-2</v>
      </c>
      <c r="M584" s="27">
        <f t="shared" ref="M584:M587" ca="1" si="338">L584*U584+(25-J584)/25/U584</f>
        <v>-8.6640749448028659E-2</v>
      </c>
      <c r="N584" s="28" t="s">
        <v>31</v>
      </c>
      <c r="O584" s="28" t="s">
        <v>32</v>
      </c>
      <c r="P584" s="28" t="s">
        <v>32</v>
      </c>
      <c r="Q584" s="29">
        <f t="shared" si="337"/>
        <v>0.375</v>
      </c>
      <c r="R584" s="64">
        <v>45409</v>
      </c>
      <c r="S584" s="64">
        <v>46507</v>
      </c>
      <c r="T584" s="62" t="s">
        <v>283</v>
      </c>
      <c r="U584" s="16">
        <f t="shared" ca="1" si="325"/>
        <v>-1.2027397260273973</v>
      </c>
      <c r="V584" s="11" t="str">
        <v>All</v>
      </c>
      <c r="X584">
        <f t="shared" ca="1" si="329"/>
        <v>7.6775047923955064E-2</v>
      </c>
      <c r="Z584" s="17">
        <f t="shared" ca="1" si="330"/>
        <v>46213</v>
      </c>
      <c r="AG584" s="33">
        <f t="shared" ca="1" si="331"/>
        <v>6.8629924534596362E-2</v>
      </c>
      <c r="AH584">
        <f t="shared" ca="1" si="332"/>
        <v>6.3763868510499241E-2</v>
      </c>
      <c r="AI584">
        <f t="shared" ca="1" si="333"/>
        <v>6.2844185847455589E-2</v>
      </c>
      <c r="AJ584">
        <f t="shared" ca="1" si="334"/>
        <v>6.2161020587452584E-2</v>
      </c>
      <c r="AK584">
        <f t="shared" ca="1" si="335"/>
        <v>6.1394621703941249E-2</v>
      </c>
    </row>
    <row r="585" spans="1:37" ht="17.25" customHeight="1">
      <c r="A585" s="19"/>
      <c r="B585" s="45" t="s">
        <v>452</v>
      </c>
      <c r="C585" s="36" t="s">
        <v>27</v>
      </c>
      <c r="D585" s="36" t="s">
        <v>27</v>
      </c>
      <c r="E585" s="28" t="s">
        <v>171</v>
      </c>
      <c r="F585" s="28" t="s">
        <v>29</v>
      </c>
      <c r="G585" s="28" t="s">
        <v>30</v>
      </c>
      <c r="H585" s="23" t="str">
        <f>HYPERLINK("https://innovativeincomeinvestor.com/security/saratoga-investment-corp-8-00-notes-due-2027/","SAJ")</f>
        <v>SAJ</v>
      </c>
      <c r="I585" s="47">
        <v>0.08</v>
      </c>
      <c r="J585" s="26">
        <f ca="1">IFERROR(__xludf.DUMMYFUNCTION("GOOGLEFINANCE(H585)"),25.35)</f>
        <v>25.35</v>
      </c>
      <c r="K585" s="26">
        <f ca="1">IFERROR(__xludf.DUMMYFUNCTION("GOOGLEFINANCE(H585,""change"")"),0)</f>
        <v>0</v>
      </c>
      <c r="L585" s="27">
        <f t="shared" ca="1" si="327"/>
        <v>7.8895463510848127E-2</v>
      </c>
      <c r="M585" s="27">
        <f t="shared" ca="1" si="338"/>
        <v>-3.5373962935005727E-2</v>
      </c>
      <c r="N585" s="28" t="s">
        <v>31</v>
      </c>
      <c r="O585" s="28" t="s">
        <v>32</v>
      </c>
      <c r="P585" s="28" t="s">
        <v>32</v>
      </c>
      <c r="Q585" s="29">
        <f t="shared" si="337"/>
        <v>0.5</v>
      </c>
      <c r="R585" s="64">
        <v>45592</v>
      </c>
      <c r="S585" s="64">
        <v>46691</v>
      </c>
      <c r="T585" s="62" t="s">
        <v>283</v>
      </c>
      <c r="U585" s="16">
        <f t="shared" ca="1" si="325"/>
        <v>-0.70136986301369864</v>
      </c>
      <c r="V585" s="11" t="str">
        <v>All</v>
      </c>
      <c r="X585">
        <f t="shared" ca="1" si="329"/>
        <v>6.5422906365818309E-2</v>
      </c>
      <c r="Z585" s="17">
        <f t="shared" ca="1" si="330"/>
        <v>46213</v>
      </c>
      <c r="AG585" s="33">
        <f t="shared" ca="1" si="331"/>
        <v>7.2417776333200415E-2</v>
      </c>
      <c r="AH585">
        <f t="shared" ca="1" si="332"/>
        <v>7.6601185291065688E-2</v>
      </c>
      <c r="AI585">
        <f t="shared" ca="1" si="333"/>
        <v>7.7388443537516935E-2</v>
      </c>
      <c r="AJ585">
        <f t="shared" ca="1" si="334"/>
        <v>7.7969702975897601E-2</v>
      </c>
      <c r="AK585">
        <f t="shared" ca="1" si="335"/>
        <v>7.8604181759955219E-2</v>
      </c>
    </row>
    <row r="586" spans="1:37" ht="17.25" customHeight="1">
      <c r="A586" s="19"/>
      <c r="B586" s="45" t="s">
        <v>452</v>
      </c>
      <c r="C586" s="36" t="s">
        <v>27</v>
      </c>
      <c r="D586" s="36" t="s">
        <v>27</v>
      </c>
      <c r="E586" s="28" t="s">
        <v>171</v>
      </c>
      <c r="F586" s="28" t="s">
        <v>29</v>
      </c>
      <c r="G586" s="28" t="s">
        <v>30</v>
      </c>
      <c r="H586" s="23" t="str">
        <f>HYPERLINK("https://innovativeincomeinvestor.com/security/saratoga-invedsmtnet-corporation-8-125-notes-due-2027/","SAY")</f>
        <v>SAY</v>
      </c>
      <c r="I586" s="47">
        <v>8.1250000000000003E-2</v>
      </c>
      <c r="J586" s="26">
        <f ca="1">IFERROR(__xludf.DUMMYFUNCTION("GOOGLEFINANCE(H586)"),25.28)</f>
        <v>25.28</v>
      </c>
      <c r="K586" s="26">
        <f ca="1">IFERROR(__xludf.DUMMYFUNCTION("GOOGLEFINANCE(H586,""change"")"),-0.17)</f>
        <v>-0.17</v>
      </c>
      <c r="L586" s="27">
        <f t="shared" ca="1" si="327"/>
        <v>8.0350079113924042E-2</v>
      </c>
      <c r="M586" s="27">
        <f t="shared" ca="1" si="338"/>
        <v>-2.6448866825395684E-2</v>
      </c>
      <c r="N586" s="28" t="s">
        <v>31</v>
      </c>
      <c r="O586" s="28" t="s">
        <v>32</v>
      </c>
      <c r="P586" s="28" t="s">
        <v>32</v>
      </c>
      <c r="Q586" s="29">
        <f t="shared" si="337"/>
        <v>0.5078125</v>
      </c>
      <c r="R586" s="64">
        <v>45639</v>
      </c>
      <c r="S586" s="64">
        <v>46752</v>
      </c>
      <c r="T586" s="62" t="s">
        <v>283</v>
      </c>
      <c r="U586" s="16">
        <f t="shared" ca="1" si="325"/>
        <v>-0.57260273972602738</v>
      </c>
      <c r="V586" s="11" t="str">
        <v>All</v>
      </c>
      <c r="X586">
        <f t="shared" ca="1" si="329"/>
        <v>6.9558890872531726E-2</v>
      </c>
      <c r="Z586" s="17">
        <f t="shared" ca="1" si="330"/>
        <v>46213</v>
      </c>
      <c r="AG586" s="33">
        <f t="shared" ca="1" si="331"/>
        <v>7.5166171529930159E-2</v>
      </c>
      <c r="AH586">
        <f t="shared" ca="1" si="332"/>
        <v>7.8518195051088341E-2</v>
      </c>
      <c r="AI586">
        <f t="shared" ca="1" si="333"/>
        <v>7.9148603114951546E-2</v>
      </c>
      <c r="AJ586">
        <f t="shared" ca="1" si="334"/>
        <v>7.9613843687200092E-2</v>
      </c>
      <c r="AK586">
        <f t="shared" ca="1" si="335"/>
        <v>8.0120408516576883E-2</v>
      </c>
    </row>
    <row r="587" spans="1:37" ht="17.25" customHeight="1">
      <c r="A587" s="19"/>
      <c r="B587" s="45" t="s">
        <v>452</v>
      </c>
      <c r="C587" s="36" t="s">
        <v>27</v>
      </c>
      <c r="D587" s="36" t="s">
        <v>27</v>
      </c>
      <c r="E587" s="28" t="s">
        <v>171</v>
      </c>
      <c r="F587" s="28" t="s">
        <v>29</v>
      </c>
      <c r="G587" s="28" t="s">
        <v>30</v>
      </c>
      <c r="H587" s="23" t="str">
        <f>HYPERLINK("https://innovativeincomeinvestor.com/security/saratoga-investment-corporation-8-50-notes-due-2028/","SAZ")</f>
        <v>SAZ</v>
      </c>
      <c r="I587" s="47">
        <v>8.5000000000000006E-2</v>
      </c>
      <c r="J587" s="26">
        <f ca="1">IFERROR(__xludf.DUMMYFUNCTION("GOOGLEFINANCE(H587)"),25.39)</f>
        <v>25.39</v>
      </c>
      <c r="K587" s="26">
        <f ca="1">IFERROR(__xludf.DUMMYFUNCTION("GOOGLEFINANCE(H587,""change"")"),0.05)</f>
        <v>0.05</v>
      </c>
      <c r="L587" s="27">
        <f t="shared" ca="1" si="327"/>
        <v>8.3694367861362737E-2</v>
      </c>
      <c r="M587" s="27">
        <f t="shared" ca="1" si="338"/>
        <v>4.5499207358127819E-2</v>
      </c>
      <c r="N587" s="28" t="s">
        <v>31</v>
      </c>
      <c r="O587" s="28" t="s">
        <v>32</v>
      </c>
      <c r="P587" s="28" t="s">
        <v>32</v>
      </c>
      <c r="Q587" s="29">
        <f t="shared" si="337"/>
        <v>0.53125</v>
      </c>
      <c r="R587" s="64">
        <v>45761</v>
      </c>
      <c r="S587" s="64">
        <v>46858</v>
      </c>
      <c r="T587" s="62" t="s">
        <v>283</v>
      </c>
      <c r="U587" s="16">
        <f t="shared" ca="1" si="325"/>
        <v>-0.23835616438356164</v>
      </c>
      <c r="V587" s="11" t="str">
        <v>All</v>
      </c>
      <c r="X587">
        <f t="shared" ca="1" si="329"/>
        <v>6.8724231916785422E-2</v>
      </c>
      <c r="Z587" s="17">
        <f t="shared" ca="1" si="330"/>
        <v>46213</v>
      </c>
      <c r="AG587" s="33">
        <f t="shared" ca="1" si="331"/>
        <v>7.6513755578669976E-2</v>
      </c>
      <c r="AH587">
        <f t="shared" ca="1" si="332"/>
        <v>8.1170731416965125E-2</v>
      </c>
      <c r="AI587">
        <f t="shared" ca="1" si="333"/>
        <v>8.2045755232367498E-2</v>
      </c>
      <c r="AJ587">
        <f t="shared" ca="1" si="334"/>
        <v>8.2690402652996431E-2</v>
      </c>
      <c r="AK587">
        <f t="shared" ca="1" si="335"/>
        <v>8.3388540356911733E-2</v>
      </c>
    </row>
    <row r="588" spans="1:37" ht="17.25" customHeight="1">
      <c r="A588" s="19"/>
      <c r="B588" s="45" t="s">
        <v>453</v>
      </c>
      <c r="C588" s="36" t="s">
        <v>35</v>
      </c>
      <c r="D588" s="36" t="s">
        <v>27</v>
      </c>
      <c r="E588" s="28" t="s">
        <v>63</v>
      </c>
      <c r="F588" s="28" t="s">
        <v>29</v>
      </c>
      <c r="G588" s="28" t="s">
        <v>38</v>
      </c>
      <c r="H588" s="66" t="str">
        <f>HYPERLINK("https://innovativeincomeinvestor.com/security/saul-centers-6-125-series-d-cumulative-redeemable-preferred-stock/","BFS-D")</f>
        <v>BFS-D</v>
      </c>
      <c r="I588" s="47">
        <v>6.1249999999999999E-2</v>
      </c>
      <c r="J588" s="65">
        <f ca="1">IFERROR(__xludf.DUMMYFUNCTION("GoogleFinance(H588)"),21.5)</f>
        <v>21.5</v>
      </c>
      <c r="K588" s="98">
        <f ca="1">IFERROR(__xludf.DUMMYFUNCTION("googlefinance(H588,""change"")"),0.81)</f>
        <v>0.81</v>
      </c>
      <c r="L588" s="27">
        <f t="shared" ca="1" si="327"/>
        <v>7.1220930232558141E-2</v>
      </c>
      <c r="M588" s="27">
        <f t="shared" ref="M588:M591" ca="1" si="339">(25-J588)/25</f>
        <v>0.14000000000000001</v>
      </c>
      <c r="N588" s="28" t="s">
        <v>31</v>
      </c>
      <c r="O588" s="28" t="s">
        <v>32</v>
      </c>
      <c r="P588" s="28" t="s">
        <v>32</v>
      </c>
      <c r="Q588" s="29">
        <f t="shared" si="337"/>
        <v>0.3828125</v>
      </c>
      <c r="R588" s="64">
        <v>44949</v>
      </c>
      <c r="S588" s="54" t="s">
        <v>41</v>
      </c>
      <c r="T588" s="62" t="s">
        <v>60</v>
      </c>
      <c r="U588" s="16">
        <f t="shared" ca="1" si="325"/>
        <v>-2.463013698630137</v>
      </c>
      <c r="V588" s="11" t="str">
        <v>All</v>
      </c>
      <c r="X588">
        <f t="shared" ca="1" si="329"/>
        <v>0.22111790057232059</v>
      </c>
      <c r="Z588" s="17">
        <f t="shared" ca="1" si="330"/>
        <v>46213</v>
      </c>
      <c r="AG588" s="33">
        <f t="shared" ca="1" si="331"/>
        <v>0.14296952733205232</v>
      </c>
      <c r="AH588">
        <f t="shared" ca="1" si="332"/>
        <v>9.6927178970277875E-2</v>
      </c>
      <c r="AI588">
        <f t="shared" ca="1" si="333"/>
        <v>8.8290966654824832E-2</v>
      </c>
      <c r="AJ588">
        <f t="shared" ca="1" si="334"/>
        <v>8.1898994829957564E-2</v>
      </c>
      <c r="AK588">
        <f t="shared" ca="1" si="335"/>
        <v>7.4803426252851801E-2</v>
      </c>
    </row>
    <row r="589" spans="1:37" ht="17.25" customHeight="1">
      <c r="A589" s="19"/>
      <c r="B589" s="45" t="s">
        <v>453</v>
      </c>
      <c r="C589" s="36" t="s">
        <v>35</v>
      </c>
      <c r="D589" s="36" t="s">
        <v>27</v>
      </c>
      <c r="E589" s="28" t="s">
        <v>63</v>
      </c>
      <c r="F589" s="28" t="s">
        <v>29</v>
      </c>
      <c r="G589" s="28" t="s">
        <v>38</v>
      </c>
      <c r="H589" s="83" t="str">
        <f>HYPERLINK("https://innovativeincomeinvestor.com/security/saul-centers-inc-6-00-series-e-cumulative-redeemable-preferred-stock/","BFS-E")</f>
        <v>BFS-E</v>
      </c>
      <c r="I589" s="47">
        <v>0.06</v>
      </c>
      <c r="J589" s="65">
        <f ca="1">IFERROR(__xludf.DUMMYFUNCTION("GoogleFinance(H589)"),21.24)</f>
        <v>21.24</v>
      </c>
      <c r="K589" s="98">
        <f ca="1">IFERROR(__xludf.DUMMYFUNCTION("googlefinance(H589,""change"")"),-0.36)</f>
        <v>-0.36</v>
      </c>
      <c r="L589" s="27">
        <f t="shared" ca="1" si="327"/>
        <v>7.0621468926553674E-2</v>
      </c>
      <c r="M589" s="27">
        <f t="shared" ca="1" si="339"/>
        <v>0.15040000000000006</v>
      </c>
      <c r="N589" s="28" t="s">
        <v>31</v>
      </c>
      <c r="O589" s="28" t="s">
        <v>32</v>
      </c>
      <c r="P589" s="28" t="s">
        <v>32</v>
      </c>
      <c r="Q589" s="29">
        <f t="shared" si="337"/>
        <v>0.375</v>
      </c>
      <c r="R589" s="82">
        <v>45552</v>
      </c>
      <c r="S589" s="54" t="s">
        <v>41</v>
      </c>
      <c r="T589" s="62" t="s">
        <v>60</v>
      </c>
      <c r="U589" s="16">
        <f t="shared" ca="1" si="325"/>
        <v>-0.81095890410958904</v>
      </c>
      <c r="V589" s="11" t="str">
        <v>All</v>
      </c>
      <c r="X589">
        <f t="shared" ca="1" si="329"/>
        <v>0.23291279156534775</v>
      </c>
      <c r="Z589" s="17">
        <f t="shared" ca="1" si="330"/>
        <v>46213</v>
      </c>
      <c r="AG589" s="33">
        <f t="shared" ca="1" si="331"/>
        <v>0.14827607966338791</v>
      </c>
      <c r="AH589">
        <f t="shared" ca="1" si="332"/>
        <v>9.8467470792774847E-2</v>
      </c>
      <c r="AI589">
        <f t="shared" ca="1" si="333"/>
        <v>8.9127568318869005E-2</v>
      </c>
      <c r="AJ589">
        <f t="shared" ca="1" si="334"/>
        <v>8.2213427322327004E-2</v>
      </c>
      <c r="AK589">
        <f t="shared" ca="1" si="335"/>
        <v>7.4530112236306623E-2</v>
      </c>
    </row>
    <row r="590" spans="1:37" ht="17.25" customHeight="1">
      <c r="A590" s="19"/>
      <c r="B590" s="45" t="s">
        <v>454</v>
      </c>
      <c r="C590" s="28" t="s">
        <v>35</v>
      </c>
      <c r="D590" s="28" t="s">
        <v>35</v>
      </c>
      <c r="E590" s="28" t="s">
        <v>73</v>
      </c>
      <c r="F590" s="36" t="s">
        <v>29</v>
      </c>
      <c r="G590" s="230" t="s">
        <v>71</v>
      </c>
      <c r="H590" s="66" t="str">
        <f>HYPERLINK("https://innovativeincomeinvestor.com/security/sce-trust-ii-5-10-trust-preference-securities/","SCE-G")</f>
        <v>SCE-G</v>
      </c>
      <c r="I590" s="47">
        <v>5.0999999999999997E-2</v>
      </c>
      <c r="J590" s="65">
        <f ca="1">IFERROR(__xludf.DUMMYFUNCTION("GoogleFinance(H590)"),16.69)</f>
        <v>16.690000000000001</v>
      </c>
      <c r="K590" s="98">
        <f ca="1">IFERROR(__xludf.DUMMYFUNCTION("googlefinance(H590,""change"")"),-0.01)</f>
        <v>-0.01</v>
      </c>
      <c r="L590" s="27">
        <f t="shared" ca="1" si="327"/>
        <v>7.6393049730377457E-2</v>
      </c>
      <c r="M590" s="27">
        <f t="shared" ca="1" si="339"/>
        <v>0.33239999999999997</v>
      </c>
      <c r="N590" s="28" t="s">
        <v>39</v>
      </c>
      <c r="O590" s="28" t="s">
        <v>69</v>
      </c>
      <c r="P590" s="28" t="s">
        <v>64</v>
      </c>
      <c r="Q590" s="29">
        <f t="shared" si="337"/>
        <v>0.31874999999999998</v>
      </c>
      <c r="R590" s="82">
        <v>43174</v>
      </c>
      <c r="S590" s="54" t="s">
        <v>41</v>
      </c>
      <c r="T590" s="62" t="s">
        <v>52</v>
      </c>
      <c r="U590" s="16">
        <f t="shared" ca="1" si="325"/>
        <v>-7.3260273972602743</v>
      </c>
      <c r="V590" s="11" t="str">
        <v>All</v>
      </c>
      <c r="X590">
        <f t="shared" ca="1" si="329"/>
        <v>0.49137459065726041</v>
      </c>
      <c r="Z590" s="17">
        <f t="shared" ca="1" si="330"/>
        <v>46213</v>
      </c>
      <c r="AG590" s="33">
        <f t="shared" ca="1" si="331"/>
        <v>0.27192666482716821</v>
      </c>
      <c r="AH590">
        <f t="shared" ca="1" si="332"/>
        <v>0.14582421616905733</v>
      </c>
      <c r="AI590">
        <f t="shared" ca="1" si="333"/>
        <v>0.12241876287751692</v>
      </c>
      <c r="AJ590">
        <f t="shared" ca="1" si="334"/>
        <v>0.10513405934606165</v>
      </c>
      <c r="AK590">
        <f t="shared" ca="1" si="335"/>
        <v>8.5960569046374766E-2</v>
      </c>
    </row>
    <row r="591" spans="1:37" ht="17.25" customHeight="1">
      <c r="A591" s="19"/>
      <c r="B591" s="45" t="s">
        <v>454</v>
      </c>
      <c r="C591" s="28" t="s">
        <v>35</v>
      </c>
      <c r="D591" s="28" t="s">
        <v>35</v>
      </c>
      <c r="E591" s="28" t="s">
        <v>73</v>
      </c>
      <c r="F591" s="36" t="s">
        <v>29</v>
      </c>
      <c r="G591" s="148" t="s">
        <v>71</v>
      </c>
      <c r="H591" s="66" t="str">
        <f>HYPERLINK("https://innovativeincomeinvestor.com/security/sce-trust-5-00/","SCE-L")</f>
        <v>SCE-L</v>
      </c>
      <c r="I591" s="47">
        <v>0.05</v>
      </c>
      <c r="J591" s="25">
        <f ca="1">IFERROR(__xludf.DUMMYFUNCTION("GoogleFinance(H591)"),16.14)</f>
        <v>16.14</v>
      </c>
      <c r="K591" s="48">
        <f ca="1">IFERROR(__xludf.DUMMYFUNCTION("googlefinance(H591,""change"")"),-0.01)</f>
        <v>-0.01</v>
      </c>
      <c r="L591" s="27">
        <f t="shared" ca="1" si="327"/>
        <v>7.6827757125154897E-2</v>
      </c>
      <c r="M591" s="27">
        <f t="shared" ca="1" si="339"/>
        <v>0.35439999999999999</v>
      </c>
      <c r="N591" s="28" t="s">
        <v>39</v>
      </c>
      <c r="O591" s="28" t="s">
        <v>69</v>
      </c>
      <c r="P591" s="28" t="s">
        <v>64</v>
      </c>
      <c r="Q591" s="29">
        <v>0.31</v>
      </c>
      <c r="R591" s="64">
        <v>44738</v>
      </c>
      <c r="S591" s="54" t="s">
        <v>41</v>
      </c>
      <c r="T591" s="62" t="s">
        <v>52</v>
      </c>
      <c r="U591" s="16">
        <f t="shared" ca="1" si="325"/>
        <v>-3.0410958904109591</v>
      </c>
      <c r="V591" s="11" t="str">
        <v>All</v>
      </c>
      <c r="X591">
        <f t="shared" ca="1" si="329"/>
        <v>0.52875899150098116</v>
      </c>
      <c r="Z591" s="17">
        <f t="shared" ca="1" si="330"/>
        <v>46213</v>
      </c>
      <c r="AG591" s="33">
        <f t="shared" ca="1" si="331"/>
        <v>0.2896194934396058</v>
      </c>
      <c r="AH591">
        <f t="shared" ca="1" si="332"/>
        <v>0.15265899492069188</v>
      </c>
      <c r="AI591">
        <f t="shared" ca="1" si="333"/>
        <v>0.12727572091689715</v>
      </c>
      <c r="AJ591">
        <f t="shared" ca="1" si="334"/>
        <v>0.10853814564999346</v>
      </c>
      <c r="AK591">
        <f t="shared" ca="1" si="335"/>
        <v>8.7763804796612402E-2</v>
      </c>
    </row>
    <row r="592" spans="1:37" ht="17.25" customHeight="1">
      <c r="A592" s="19"/>
      <c r="B592" s="45" t="s">
        <v>454</v>
      </c>
      <c r="C592" s="28" t="s">
        <v>35</v>
      </c>
      <c r="D592" s="28" t="s">
        <v>35</v>
      </c>
      <c r="E592" s="28" t="s">
        <v>73</v>
      </c>
      <c r="F592" s="28" t="s">
        <v>46</v>
      </c>
      <c r="G592" s="148" t="s">
        <v>71</v>
      </c>
      <c r="H592" s="66" t="str">
        <f>HYPERLINK("https://innovativeincomeinvestor.com/security/sce-trust-v-5-45-cumulative-fixed-to-floating-rate-trust-preference-securities/","SCE-K")</f>
        <v>SCE-K</v>
      </c>
      <c r="I592" s="47">
        <v>5.45E-2</v>
      </c>
      <c r="J592" s="25">
        <f ca="1">IFERROR(__xludf.DUMMYFUNCTION("GoogleFinance(H592)"),23.13)</f>
        <v>23.13</v>
      </c>
      <c r="K592" s="98">
        <f ca="1">IFERROR(__xludf.DUMMYFUNCTION("googlefinance(H592,""change"")"),-0.01)</f>
        <v>-0.01</v>
      </c>
      <c r="L592" s="27">
        <f t="shared" ca="1" si="327"/>
        <v>5.8798097708603551E-2</v>
      </c>
      <c r="M592" s="27">
        <f t="shared" ref="M592:M593" ca="1" si="340">L592*U592+(25-J592)/25/U592</f>
        <v>0.15003919798353907</v>
      </c>
      <c r="N592" s="28" t="s">
        <v>39</v>
      </c>
      <c r="O592" s="28" t="s">
        <v>69</v>
      </c>
      <c r="P592" s="28" t="s">
        <v>64</v>
      </c>
      <c r="Q592" s="29">
        <v>0.34</v>
      </c>
      <c r="R592" s="82">
        <v>46096</v>
      </c>
      <c r="S592" s="54" t="s">
        <v>41</v>
      </c>
      <c r="T592" s="62" t="s">
        <v>52</v>
      </c>
      <c r="U592" s="16">
        <f t="shared" ca="1" si="325"/>
        <v>0.67945205479452053</v>
      </c>
      <c r="V592" s="11" t="str">
        <v>All</v>
      </c>
      <c r="X592">
        <f t="shared" ca="1" si="329"/>
        <v>0.13575229173673714</v>
      </c>
      <c r="Z592" s="17">
        <f t="shared" ca="1" si="330"/>
        <v>46213</v>
      </c>
      <c r="AG592" s="33">
        <f t="shared" ca="1" si="331"/>
        <v>9.6053257692142124E-2</v>
      </c>
      <c r="AH592">
        <f t="shared" ca="1" si="332"/>
        <v>7.2475586215386509E-2</v>
      </c>
      <c r="AI592">
        <f t="shared" ca="1" si="333"/>
        <v>6.8028013387766942E-2</v>
      </c>
      <c r="AJ592">
        <f t="shared" ca="1" si="334"/>
        <v>6.4721937917831651E-2</v>
      </c>
      <c r="AK592">
        <f t="shared" ca="1" si="335"/>
        <v>6.1001277289797415E-2</v>
      </c>
    </row>
    <row r="593" spans="1:37" ht="17.25" customHeight="1">
      <c r="A593" s="19"/>
      <c r="B593" s="45" t="s">
        <v>454</v>
      </c>
      <c r="C593" s="28" t="s">
        <v>35</v>
      </c>
      <c r="D593" s="28" t="s">
        <v>35</v>
      </c>
      <c r="E593" s="28" t="s">
        <v>73</v>
      </c>
      <c r="F593" s="28" t="s">
        <v>46</v>
      </c>
      <c r="G593" s="148" t="s">
        <v>71</v>
      </c>
      <c r="H593" s="66" t="str">
        <f>HYPERLINK("https://innovativeincomeinvestor.com/security/sce-trust-iv-5-375-cumulative-fixedfloating-rate-trust-preference-securities/","SCE-J")</f>
        <v>SCE-J</v>
      </c>
      <c r="I593" s="47">
        <v>5.3749999999999999E-2</v>
      </c>
      <c r="J593" s="25">
        <f ca="1">IFERROR(__xludf.DUMMYFUNCTION("GoogleFinance(H593)"),22.98)</f>
        <v>22.98</v>
      </c>
      <c r="K593" s="98">
        <f ca="1">IFERROR(__xludf.DUMMYFUNCTION("googlefinance(H593,""change"")"),0.03)</f>
        <v>0.03</v>
      </c>
      <c r="L593" s="27">
        <f t="shared" ca="1" si="327"/>
        <v>5.9181897302001747E-2</v>
      </c>
      <c r="M593" s="27">
        <f t="shared" ca="1" si="340"/>
        <v>0.45104263083167795</v>
      </c>
      <c r="N593" s="28" t="s">
        <v>39</v>
      </c>
      <c r="O593" s="28" t="s">
        <v>69</v>
      </c>
      <c r="P593" s="28" t="s">
        <v>64</v>
      </c>
      <c r="Q593" s="29">
        <v>0.34</v>
      </c>
      <c r="R593" s="82">
        <v>45915</v>
      </c>
      <c r="S593" s="54" t="s">
        <v>41</v>
      </c>
      <c r="T593" s="62" t="s">
        <v>52</v>
      </c>
      <c r="U593" s="16">
        <f t="shared" ca="1" si="325"/>
        <v>0.18356164383561643</v>
      </c>
      <c r="V593" s="11" t="str">
        <v>All</v>
      </c>
      <c r="X593">
        <f t="shared" ca="1" si="329"/>
        <v>0.14183754770869286</v>
      </c>
      <c r="Z593" s="17">
        <f t="shared" ca="1" si="330"/>
        <v>46213</v>
      </c>
      <c r="AG593" s="33">
        <f t="shared" ca="1" si="331"/>
        <v>9.8766601739915805E-2</v>
      </c>
      <c r="AH593">
        <f t="shared" ca="1" si="332"/>
        <v>7.3201799448461918E-2</v>
      </c>
      <c r="AI593">
        <f t="shared" ca="1" si="333"/>
        <v>6.8380136190555205E-2</v>
      </c>
      <c r="AJ593">
        <f t="shared" ca="1" si="334"/>
        <v>6.47955844265726E-2</v>
      </c>
      <c r="AK593">
        <f t="shared" ca="1" si="335"/>
        <v>6.0759172649957643E-2</v>
      </c>
    </row>
    <row r="594" spans="1:37" ht="17.25" customHeight="1">
      <c r="A594" s="19"/>
      <c r="B594" s="45" t="s">
        <v>454</v>
      </c>
      <c r="C594" s="28" t="s">
        <v>35</v>
      </c>
      <c r="D594" s="28" t="s">
        <v>35</v>
      </c>
      <c r="E594" s="28" t="s">
        <v>73</v>
      </c>
      <c r="F594" s="28" t="s">
        <v>46</v>
      </c>
      <c r="G594" s="148" t="s">
        <v>71</v>
      </c>
      <c r="H594" s="66" t="str">
        <f>HYPERLINK("https://innovativeincomeinvestor.com/security/sce-trust-iii-5-75-cumulative-fixedfloating-rate-trust-preference-securities/","SCE-H")</f>
        <v>SCE-H</v>
      </c>
      <c r="I594" s="47">
        <v>5.7500000000000002E-2</v>
      </c>
      <c r="J594" s="86" t="s">
        <v>68</v>
      </c>
      <c r="K594" s="86" t="s">
        <v>68</v>
      </c>
      <c r="L594" s="86" t="s">
        <v>68</v>
      </c>
      <c r="M594" s="86" t="s">
        <v>68</v>
      </c>
      <c r="N594" s="28" t="s">
        <v>39</v>
      </c>
      <c r="O594" s="28" t="s">
        <v>69</v>
      </c>
      <c r="P594" s="28" t="s">
        <v>64</v>
      </c>
      <c r="Q594" s="52" t="s">
        <v>47</v>
      </c>
      <c r="R594" s="82">
        <v>45366</v>
      </c>
      <c r="S594" s="54" t="s">
        <v>41</v>
      </c>
      <c r="T594" s="62" t="s">
        <v>52</v>
      </c>
      <c r="U594" s="16">
        <f t="shared" ca="1" si="325"/>
        <v>-1.3205479452054794</v>
      </c>
      <c r="V594" s="11" t="str">
        <v>All</v>
      </c>
      <c r="X594" t="e">
        <f t="shared" ca="1" si="329"/>
        <v>#VALUE!</v>
      </c>
      <c r="Z594" s="17">
        <f t="shared" ca="1" si="330"/>
        <v>46213</v>
      </c>
      <c r="AG594" s="33" t="e">
        <f t="shared" ca="1" si="331"/>
        <v>#VALUE!</v>
      </c>
      <c r="AH594" t="e">
        <f t="shared" ca="1" si="332"/>
        <v>#VALUE!</v>
      </c>
      <c r="AI594" t="e">
        <f t="shared" ca="1" si="333"/>
        <v>#VALUE!</v>
      </c>
      <c r="AJ594" t="e">
        <f t="shared" ca="1" si="334"/>
        <v>#VALUE!</v>
      </c>
      <c r="AK594" t="e">
        <f t="shared" ca="1" si="335"/>
        <v>#VALUE!</v>
      </c>
    </row>
    <row r="595" spans="1:37" ht="17.25" customHeight="1">
      <c r="A595" s="19"/>
      <c r="B595" s="45" t="s">
        <v>455</v>
      </c>
      <c r="C595" s="28" t="s">
        <v>35</v>
      </c>
      <c r="D595" s="28" t="s">
        <v>35</v>
      </c>
      <c r="E595" s="28" t="s">
        <v>73</v>
      </c>
      <c r="F595" s="36" t="s">
        <v>29</v>
      </c>
      <c r="G595" s="148" t="s">
        <v>71</v>
      </c>
      <c r="H595" s="23" t="str">
        <f>HYPERLINK("https://innovativeincomeinvestor.com/security/sce-trust-vii-7-50-trust-preference-securities/","SCE-M")</f>
        <v>SCE-M</v>
      </c>
      <c r="I595" s="47">
        <v>7.4999999999999997E-2</v>
      </c>
      <c r="J595" s="25">
        <f ca="1">IFERROR(__xludf.DUMMYFUNCTION("GoogleFinance(H595)"),22.3)</f>
        <v>22.3</v>
      </c>
      <c r="K595" s="48">
        <f ca="1">IFERROR(__xludf.DUMMYFUNCTION("googlefinance(H595,""change"")"),-0.03)</f>
        <v>-0.03</v>
      </c>
      <c r="L595" s="27">
        <f t="shared" ref="L595:L598" ca="1" si="341">(Q595*4)/J595</f>
        <v>8.4080717488789231E-2</v>
      </c>
      <c r="M595" s="27">
        <f t="shared" ref="M595:M596" ca="1" si="342">L595*U595+(25-J595)/25/U595</f>
        <v>0.31559360389599533</v>
      </c>
      <c r="N595" s="28" t="s">
        <v>39</v>
      </c>
      <c r="O595" s="28" t="s">
        <v>69</v>
      </c>
      <c r="P595" s="28" t="s">
        <v>64</v>
      </c>
      <c r="Q595" s="29">
        <f>(I595*25)/4</f>
        <v>0.46875</v>
      </c>
      <c r="R595" s="64">
        <v>47079</v>
      </c>
      <c r="S595" s="54" t="s">
        <v>41</v>
      </c>
      <c r="T595" s="62" t="s">
        <v>52</v>
      </c>
      <c r="U595" s="16">
        <f t="shared" ca="1" si="325"/>
        <v>3.3726027397260272</v>
      </c>
      <c r="V595" s="11" t="str">
        <v>All</v>
      </c>
      <c r="X595">
        <f t="shared" ca="1" si="329"/>
        <v>0.19658779073912105</v>
      </c>
      <c r="Z595" s="17">
        <f t="shared" ca="1" si="330"/>
        <v>46213</v>
      </c>
      <c r="AG595" s="33">
        <f t="shared" ca="1" si="331"/>
        <v>0.13769484501369</v>
      </c>
      <c r="AH595">
        <f t="shared" ca="1" si="332"/>
        <v>0.10291383319550136</v>
      </c>
      <c r="AI595">
        <f t="shared" ca="1" si="333"/>
        <v>9.6404948337625862E-2</v>
      </c>
      <c r="AJ595">
        <f t="shared" ca="1" si="334"/>
        <v>9.1612038007407193E-2</v>
      </c>
      <c r="AK595">
        <f t="shared" ca="1" si="335"/>
        <v>8.6393924373023553E-2</v>
      </c>
    </row>
    <row r="596" spans="1:37" ht="17.25" customHeight="1">
      <c r="A596" s="19"/>
      <c r="B596" s="45" t="s">
        <v>456</v>
      </c>
      <c r="C596" s="28" t="s">
        <v>35</v>
      </c>
      <c r="D596" s="28" t="s">
        <v>35</v>
      </c>
      <c r="E596" s="28" t="s">
        <v>73</v>
      </c>
      <c r="F596" s="36" t="s">
        <v>29</v>
      </c>
      <c r="G596" s="28" t="s">
        <v>71</v>
      </c>
      <c r="H596" s="23" t="str">
        <f>HYPERLINK("https://innovativeincomeinvestor.com/security/sce-trust-viii-6-95-trust-preference-securities/","SCE-N")</f>
        <v>SCE-N</v>
      </c>
      <c r="I596" s="47">
        <v>6.9500000000000006E-2</v>
      </c>
      <c r="J596" s="25">
        <f ca="1">IFERROR(__xludf.DUMMYFUNCTION("GoogleFinance(H596)"),21.5)</f>
        <v>21.5</v>
      </c>
      <c r="K596" s="48">
        <f ca="1">IFERROR(__xludf.DUMMYFUNCTION("googlefinance(H596,""change"")"),-0.21)</f>
        <v>-0.21</v>
      </c>
      <c r="L596" s="27">
        <f t="shared" ca="1" si="341"/>
        <v>0.08</v>
      </c>
      <c r="M596" s="27">
        <f t="shared" ca="1" si="342"/>
        <v>0.34392880227301575</v>
      </c>
      <c r="N596" s="28" t="s">
        <v>39</v>
      </c>
      <c r="O596" s="28" t="s">
        <v>69</v>
      </c>
      <c r="P596" s="28" t="s">
        <v>64</v>
      </c>
      <c r="Q596" s="29">
        <v>0.43</v>
      </c>
      <c r="R596" s="64">
        <v>47251</v>
      </c>
      <c r="S596" s="54" t="s">
        <v>41</v>
      </c>
      <c r="T596" s="62" t="s">
        <v>52</v>
      </c>
      <c r="U596" s="16">
        <f t="shared" ca="1" si="325"/>
        <v>3.8438356164383563</v>
      </c>
      <c r="V596" s="11" t="str">
        <v>All</v>
      </c>
      <c r="X596">
        <f t="shared" ca="1" si="329"/>
        <v>0.23020609967561134</v>
      </c>
      <c r="Z596" s="17">
        <f t="shared" ca="1" si="330"/>
        <v>46213</v>
      </c>
      <c r="AG596" s="33">
        <f t="shared" ca="1" si="331"/>
        <v>0.15198912218678454</v>
      </c>
      <c r="AH596">
        <f t="shared" ca="1" si="332"/>
        <v>0.10594326988321817</v>
      </c>
      <c r="AI596">
        <f t="shared" ca="1" si="333"/>
        <v>9.7328576668136893E-2</v>
      </c>
      <c r="AJ596">
        <f t="shared" ca="1" si="334"/>
        <v>9.0975778385798636E-2</v>
      </c>
      <c r="AK596">
        <f t="shared" ca="1" si="335"/>
        <v>8.401689151214492E-2</v>
      </c>
    </row>
    <row r="597" spans="1:37" ht="17.25" customHeight="1">
      <c r="A597" s="19"/>
      <c r="B597" s="45" t="s">
        <v>457</v>
      </c>
      <c r="C597" s="28" t="s">
        <v>27</v>
      </c>
      <c r="D597" s="28" t="s">
        <v>35</v>
      </c>
      <c r="E597" s="28" t="s">
        <v>117</v>
      </c>
      <c r="F597" s="36" t="s">
        <v>29</v>
      </c>
      <c r="G597" s="28" t="s">
        <v>38</v>
      </c>
      <c r="H597" s="51" t="str">
        <f>HYPERLINK("https://innovativeincomeinvestor.com/security/charles-schwab-corp-5-95-dep-shares-non-cumul-perp-preferred-stock-series-d/","SCHW-D")</f>
        <v>SCHW-D</v>
      </c>
      <c r="I597" s="47">
        <v>5.9499999999999997E-2</v>
      </c>
      <c r="J597" s="25">
        <f ca="1">IFERROR(__xludf.DUMMYFUNCTION("GoogleFinance(H597)"),24.76)</f>
        <v>24.76</v>
      </c>
      <c r="K597" s="65">
        <f ca="1">IFERROR(__xludf.DUMMYFUNCTION("googlefinance(H597,""change"")"),-0.09)</f>
        <v>-0.09</v>
      </c>
      <c r="L597" s="27">
        <f t="shared" ca="1" si="341"/>
        <v>6.0076736672051684E-2</v>
      </c>
      <c r="M597" s="27">
        <f ca="1">(25-J597)/25</f>
        <v>9.5999999999999367E-3</v>
      </c>
      <c r="N597" s="28" t="s">
        <v>39</v>
      </c>
      <c r="O597" s="28" t="s">
        <v>50</v>
      </c>
      <c r="P597" s="28" t="s">
        <v>76</v>
      </c>
      <c r="Q597" s="29">
        <f>(I597*25)/4</f>
        <v>0.37187499999999996</v>
      </c>
      <c r="R597" s="64">
        <v>44348</v>
      </c>
      <c r="S597" s="54" t="s">
        <v>41</v>
      </c>
      <c r="T597" s="62" t="s">
        <v>81</v>
      </c>
      <c r="U597" s="16">
        <f t="shared" ca="1" si="325"/>
        <v>-4.1095890410958908</v>
      </c>
      <c r="V597" s="11" t="str">
        <v>All</v>
      </c>
      <c r="X597">
        <f t="shared" ca="1" si="329"/>
        <v>6.9520717711679114E-2</v>
      </c>
      <c r="Z597" s="17">
        <f t="shared" ca="1" si="330"/>
        <v>46213</v>
      </c>
      <c r="AG597" s="33">
        <f t="shared" ca="1" si="331"/>
        <v>6.4655670215295127E-2</v>
      </c>
      <c r="AH597">
        <f t="shared" ca="1" si="332"/>
        <v>6.1747052745947113E-2</v>
      </c>
      <c r="AI597">
        <f t="shared" ca="1" si="333"/>
        <v>6.1197038344712455E-2</v>
      </c>
      <c r="AJ597">
        <f t="shared" ca="1" si="334"/>
        <v>6.0788418944149152E-2</v>
      </c>
      <c r="AK597">
        <f t="shared" ca="1" si="335"/>
        <v>6.0329450269493913E-2</v>
      </c>
    </row>
    <row r="598" spans="1:37" ht="17.25" customHeight="1">
      <c r="A598" s="68"/>
      <c r="B598" s="69" t="s">
        <v>457</v>
      </c>
      <c r="C598" s="28" t="s">
        <v>27</v>
      </c>
      <c r="D598" s="28" t="s">
        <v>35</v>
      </c>
      <c r="E598" s="28" t="s">
        <v>117</v>
      </c>
      <c r="F598" s="36" t="s">
        <v>29</v>
      </c>
      <c r="G598" s="28" t="s">
        <v>38</v>
      </c>
      <c r="H598" s="119" t="s">
        <v>458</v>
      </c>
      <c r="I598" s="47">
        <v>4.4499999999999998E-2</v>
      </c>
      <c r="J598" s="25">
        <f ca="1">IFERROR(__xludf.DUMMYFUNCTION("GoogleFinance(H598)"),19.31)</f>
        <v>19.309999999999999</v>
      </c>
      <c r="K598" s="65">
        <f ca="1">IFERROR(__xludf.DUMMYFUNCTION("googlefinance(H598,""change"")"),-0.05)</f>
        <v>-0.05</v>
      </c>
      <c r="L598" s="27">
        <f t="shared" ca="1" si="341"/>
        <v>5.8001035732780953E-2</v>
      </c>
      <c r="M598" s="27">
        <f t="array" aca="1" ref="M598" ca="1">L598*U598+(25-J598)/25/U598</f>
        <v>0.30663188565036592</v>
      </c>
      <c r="N598" s="28" t="s">
        <v>39</v>
      </c>
      <c r="O598" s="28" t="s">
        <v>50</v>
      </c>
      <c r="P598" s="28" t="s">
        <v>76</v>
      </c>
      <c r="Q598" s="29">
        <v>0.28000000000000003</v>
      </c>
      <c r="R598" s="64">
        <v>46174</v>
      </c>
      <c r="S598" s="54" t="s">
        <v>41</v>
      </c>
      <c r="T598" s="62" t="s">
        <v>81</v>
      </c>
      <c r="U598" s="16">
        <f t="shared" ca="1" si="325"/>
        <v>0.89315068493150684</v>
      </c>
      <c r="V598" s="11" t="str">
        <v>All</v>
      </c>
      <c r="X598">
        <f t="shared" ca="1" si="329"/>
        <v>0.3192547122829022</v>
      </c>
      <c r="Z598" s="17">
        <f t="shared" ca="1" si="330"/>
        <v>46213</v>
      </c>
      <c r="AG598" s="33">
        <f t="shared" ca="1" si="331"/>
        <v>0.18294023275124219</v>
      </c>
      <c r="AH598">
        <f t="shared" ca="1" si="332"/>
        <v>0.10339321419871203</v>
      </c>
      <c r="AI598">
        <f t="shared" ca="1" si="333"/>
        <v>8.8489420709312094E-2</v>
      </c>
      <c r="AJ598">
        <f t="shared" ca="1" si="334"/>
        <v>7.7416344975113988E-2</v>
      </c>
      <c r="AK598">
        <f t="shared" ca="1" si="335"/>
        <v>6.4908380116047909E-2</v>
      </c>
    </row>
    <row r="599" spans="1:37" ht="17.25" customHeight="1">
      <c r="A599" s="68"/>
      <c r="B599" s="69" t="s">
        <v>459</v>
      </c>
      <c r="C599" s="28" t="s">
        <v>27</v>
      </c>
      <c r="D599" s="28" t="s">
        <v>27</v>
      </c>
      <c r="E599" s="28" t="s">
        <v>119</v>
      </c>
      <c r="F599" s="36" t="s">
        <v>29</v>
      </c>
      <c r="G599" s="28" t="s">
        <v>30</v>
      </c>
      <c r="H599" s="23" t="str">
        <f>HYPERLINK("https://innovativeincomeinvestor.com/security/sbba/","SBBA")</f>
        <v>SBBA</v>
      </c>
      <c r="I599" s="47">
        <v>7.0000000000000007E-2</v>
      </c>
      <c r="J599" s="228" t="s">
        <v>445</v>
      </c>
      <c r="K599" s="229" t="s">
        <v>445</v>
      </c>
      <c r="L599" s="229" t="s">
        <v>445</v>
      </c>
      <c r="M599" s="27" t="e">
        <f>(25-J599)/25</f>
        <v>#VALUE!</v>
      </c>
      <c r="N599" s="28" t="s">
        <v>31</v>
      </c>
      <c r="O599" s="28" t="s">
        <v>32</v>
      </c>
      <c r="P599" s="28" t="s">
        <v>32</v>
      </c>
      <c r="Q599" s="29">
        <v>0.4375</v>
      </c>
      <c r="R599" s="64">
        <v>44742</v>
      </c>
      <c r="S599" s="64">
        <v>45838</v>
      </c>
      <c r="T599" s="62" t="s">
        <v>56</v>
      </c>
      <c r="U599" s="16">
        <f t="shared" ca="1" si="325"/>
        <v>-3.0301369863013701</v>
      </c>
      <c r="V599" s="11" t="str">
        <v>All</v>
      </c>
      <c r="X599" t="e">
        <f t="shared" ca="1" si="329"/>
        <v>#VALUE!</v>
      </c>
      <c r="Z599" s="17">
        <f t="shared" ca="1" si="330"/>
        <v>46213</v>
      </c>
      <c r="AG599" s="33" t="e">
        <f t="shared" ca="1" si="331"/>
        <v>#VALUE!</v>
      </c>
      <c r="AH599" t="e">
        <f t="shared" ca="1" si="332"/>
        <v>#VALUE!</v>
      </c>
      <c r="AI599" t="e">
        <f t="shared" ca="1" si="333"/>
        <v>#VALUE!</v>
      </c>
      <c r="AJ599" t="e">
        <f t="shared" ca="1" si="334"/>
        <v>#VALUE!</v>
      </c>
      <c r="AK599" t="e">
        <f t="shared" ca="1" si="335"/>
        <v>#VALUE!</v>
      </c>
    </row>
    <row r="600" spans="1:37" ht="17.25" customHeight="1">
      <c r="A600" s="68"/>
      <c r="B600" s="69" t="s">
        <v>460</v>
      </c>
      <c r="C600" s="28" t="s">
        <v>27</v>
      </c>
      <c r="D600" s="28" t="s">
        <v>35</v>
      </c>
      <c r="E600" s="28" t="s">
        <v>28</v>
      </c>
      <c r="F600" s="36" t="s">
        <v>29</v>
      </c>
      <c r="G600" s="28" t="s">
        <v>38</v>
      </c>
      <c r="H600" s="83" t="str">
        <f>HYPERLINK("https://innovativeincomeinvestor.com/security/selective-insurance-group-4-60-non-cumulative-preferred-stock-series-b/","SIGIP")</f>
        <v>SIGIP</v>
      </c>
      <c r="I600" s="47">
        <v>4.5999999999999999E-2</v>
      </c>
      <c r="J600" s="65">
        <f ca="1">IFERROR(__xludf.DUMMYFUNCTION("GoogleFinance(H600)"),16.91)</f>
        <v>16.91</v>
      </c>
      <c r="K600" s="26" t="s">
        <v>49</v>
      </c>
      <c r="L600" s="27">
        <f t="shared" ref="L600:L603" ca="1" si="343">(Q600*4)/J600</f>
        <v>6.8007096392667055E-2</v>
      </c>
      <c r="M600" s="27">
        <f t="shared" ref="M600:M601" ca="1" si="344">L600*U600+(25-J600)/25/U600</f>
        <v>0.77699565032679963</v>
      </c>
      <c r="N600" s="28" t="s">
        <v>31</v>
      </c>
      <c r="O600" s="28" t="s">
        <v>69</v>
      </c>
      <c r="P600" s="28" t="s">
        <v>83</v>
      </c>
      <c r="Q600" s="29">
        <v>0.28749999999999998</v>
      </c>
      <c r="R600" s="64">
        <v>46006</v>
      </c>
      <c r="S600" s="28" t="s">
        <v>41</v>
      </c>
      <c r="T600" s="62" t="s">
        <v>52</v>
      </c>
      <c r="U600" s="16">
        <f t="shared" ca="1" si="325"/>
        <v>0.43287671232876712</v>
      </c>
      <c r="V600" s="11" t="str">
        <v>All</v>
      </c>
      <c r="X600">
        <f t="shared" ca="1" si="329"/>
        <v>0.46989598904573404</v>
      </c>
      <c r="Z600" s="17">
        <f t="shared" ca="1" si="330"/>
        <v>46213</v>
      </c>
      <c r="AG600" s="33">
        <f t="shared" ca="1" si="331"/>
        <v>0.25821800836812792</v>
      </c>
      <c r="AH600">
        <f t="shared" ca="1" si="332"/>
        <v>0.13636218010287238</v>
      </c>
      <c r="AI600">
        <f t="shared" ca="1" si="333"/>
        <v>0.11369466142515136</v>
      </c>
      <c r="AJ600">
        <f t="shared" ca="1" si="334"/>
        <v>9.6912362072777258E-2</v>
      </c>
      <c r="AK600">
        <f t="shared" ca="1" si="335"/>
        <v>7.8123509620526679E-2</v>
      </c>
    </row>
    <row r="601" spans="1:37" ht="17.25" customHeight="1">
      <c r="A601" s="68"/>
      <c r="B601" s="69" t="s">
        <v>461</v>
      </c>
      <c r="C601" s="28" t="s">
        <v>27</v>
      </c>
      <c r="D601" s="28" t="s">
        <v>27</v>
      </c>
      <c r="E601" s="28" t="s">
        <v>73</v>
      </c>
      <c r="F601" s="36" t="s">
        <v>29</v>
      </c>
      <c r="G601" s="28" t="s">
        <v>30</v>
      </c>
      <c r="H601" s="51" t="str">
        <f>HYPERLINK("https://innovativeincomeinvestor.com/security/sempra-energy-5-75-junior-subordinated-notes-due-2079/","SREA")</f>
        <v>SREA</v>
      </c>
      <c r="I601" s="47">
        <v>5.7500000000000002E-2</v>
      </c>
      <c r="J601" s="65">
        <f ca="1">IFERROR(__xludf.DUMMYFUNCTION("GoogleFinance(H601)"),20.99)</f>
        <v>20.99</v>
      </c>
      <c r="K601" s="48">
        <f ca="1">IFERROR(__xludf.DUMMYFUNCTION("googlefinance(H601,""change"")"),-0.15)</f>
        <v>-0.15</v>
      </c>
      <c r="L601" s="27">
        <f t="shared" ca="1" si="343"/>
        <v>6.8484992853739879E-2</v>
      </c>
      <c r="M601" s="27">
        <f t="shared" ca="1" si="344"/>
        <v>-0.26052162218693109</v>
      </c>
      <c r="N601" s="28" t="s">
        <v>39</v>
      </c>
      <c r="O601" s="28" t="s">
        <v>55</v>
      </c>
      <c r="P601" s="28" t="s">
        <v>76</v>
      </c>
      <c r="Q601" s="29">
        <f>(I601*25)/4</f>
        <v>0.359375</v>
      </c>
      <c r="R601" s="64">
        <v>45566</v>
      </c>
      <c r="S601" s="64">
        <v>65562</v>
      </c>
      <c r="T601" s="62" t="s">
        <v>74</v>
      </c>
      <c r="U601" s="16">
        <f t="shared" ca="1" si="325"/>
        <v>-0.77260273972602744</v>
      </c>
      <c r="V601" s="11" t="str">
        <v>All</v>
      </c>
      <c r="X601">
        <f t="shared" ca="1" si="329"/>
        <v>0.24297583181362997</v>
      </c>
      <c r="Z601" s="17">
        <f t="shared" ca="1" si="330"/>
        <v>46213</v>
      </c>
      <c r="AG601" s="33">
        <f t="shared" ca="1" si="331"/>
        <v>0.15201112119244117</v>
      </c>
      <c r="AH601">
        <f t="shared" ca="1" si="332"/>
        <v>9.853140481460082E-2</v>
      </c>
      <c r="AI601">
        <f t="shared" ca="1" si="333"/>
        <v>8.8502309957035938E-2</v>
      </c>
      <c r="AJ601">
        <f t="shared" ca="1" si="334"/>
        <v>8.1072695735119854E-2</v>
      </c>
      <c r="AK601">
        <f t="shared" ca="1" si="335"/>
        <v>7.2792159694104214E-2</v>
      </c>
    </row>
    <row r="602" spans="1:37" ht="17.25" customHeight="1">
      <c r="A602" s="19"/>
      <c r="B602" s="45" t="s">
        <v>462</v>
      </c>
      <c r="C602" s="36" t="s">
        <v>35</v>
      </c>
      <c r="D602" s="36" t="s">
        <v>35</v>
      </c>
      <c r="E602" s="28" t="s">
        <v>220</v>
      </c>
      <c r="F602" s="36" t="s">
        <v>29</v>
      </c>
      <c r="G602" s="28" t="s">
        <v>38</v>
      </c>
      <c r="H602" s="83" t="str">
        <f>HYPERLINK("https://innovativeincomeinvestor.com/security/seritage-growth-properties-7-00-series-a-cumulative-redeemable-preferred-shares/","SRG-A")</f>
        <v>SRG-A</v>
      </c>
      <c r="I602" s="47">
        <v>7.0000000000000007E-2</v>
      </c>
      <c r="J602" s="65">
        <f ca="1">IFERROR(__xludf.DUMMYFUNCTION("GoogleFinance(H602)"),22.4)</f>
        <v>22.4</v>
      </c>
      <c r="K602" s="26" t="s">
        <v>49</v>
      </c>
      <c r="L602" s="27">
        <f t="shared" ca="1" si="343"/>
        <v>7.723214285714286E-2</v>
      </c>
      <c r="M602" s="27">
        <f ca="1">(25-J602)/25</f>
        <v>0.10400000000000005</v>
      </c>
      <c r="N602" s="28" t="s">
        <v>31</v>
      </c>
      <c r="O602" s="28" t="s">
        <v>32</v>
      </c>
      <c r="P602" s="28" t="s">
        <v>32</v>
      </c>
      <c r="Q602" s="29">
        <v>0.4325</v>
      </c>
      <c r="R602" s="36" t="s">
        <v>463</v>
      </c>
      <c r="S602" s="54" t="s">
        <v>41</v>
      </c>
      <c r="T602" s="62" t="s">
        <v>60</v>
      </c>
      <c r="U602" s="16"/>
      <c r="V602" s="11" t="str">
        <v>All</v>
      </c>
      <c r="X602">
        <f t="shared" ca="1" si="329"/>
        <v>0.18639116010686915</v>
      </c>
      <c r="Z602" s="17">
        <f t="shared" ca="1" si="330"/>
        <v>46213</v>
      </c>
      <c r="AG602" s="33">
        <f t="shared" ca="1" si="331"/>
        <v>0.1298809787228091</v>
      </c>
      <c r="AH602">
        <f t="shared" ca="1" si="332"/>
        <v>9.6474438164697224E-2</v>
      </c>
      <c r="AI602">
        <f t="shared" ca="1" si="333"/>
        <v>9.021082581191836E-2</v>
      </c>
      <c r="AJ602">
        <f t="shared" ca="1" si="334"/>
        <v>8.5587070430620485E-2</v>
      </c>
      <c r="AK602">
        <f t="shared" ca="1" si="335"/>
        <v>8.0508536158098915E-2</v>
      </c>
    </row>
    <row r="603" spans="1:37" ht="17.25" customHeight="1">
      <c r="A603" s="19"/>
      <c r="B603" s="45" t="s">
        <v>464</v>
      </c>
      <c r="C603" s="36" t="s">
        <v>35</v>
      </c>
      <c r="D603" s="36" t="s">
        <v>35</v>
      </c>
      <c r="E603" s="28" t="s">
        <v>28</v>
      </c>
      <c r="F603" s="36" t="s">
        <v>61</v>
      </c>
      <c r="G603" s="28" t="s">
        <v>38</v>
      </c>
      <c r="H603" s="23" t="str">
        <f>HYPERLINK("https://innovativeincomeinvestor.com/security/siriuspoint-ltd-8-resettable-fixed-rate-preference-stock-series-b/","SPNT-B")</f>
        <v>SPNT-B</v>
      </c>
      <c r="I603" s="47">
        <v>0.08</v>
      </c>
      <c r="J603" s="65">
        <f ca="1">IFERROR(__xludf.DUMMYFUNCTION("GoogleFinance(H603)"),25.42)</f>
        <v>25.42</v>
      </c>
      <c r="K603" s="26" t="s">
        <v>49</v>
      </c>
      <c r="L603" s="27">
        <f t="shared" ca="1" si="343"/>
        <v>7.8678206136900075E-2</v>
      </c>
      <c r="M603" s="27">
        <f t="array" aca="1" ref="M603" ca="1">L603*U603+(25-J603)/25/U603</f>
        <v>2.3248149886391692E-2</v>
      </c>
      <c r="N603" s="28" t="s">
        <v>31</v>
      </c>
      <c r="O603" s="28" t="s">
        <v>32</v>
      </c>
      <c r="P603" s="28" t="s">
        <v>69</v>
      </c>
      <c r="Q603" s="29">
        <v>0.5</v>
      </c>
      <c r="R603" s="53">
        <v>46079</v>
      </c>
      <c r="S603" s="54" t="s">
        <v>41</v>
      </c>
      <c r="T603" s="62" t="s">
        <v>283</v>
      </c>
      <c r="U603" s="16">
        <f t="shared" ref="U603:U610" ca="1" si="345">(R603-TODAY())/365</f>
        <v>0.63287671232876708</v>
      </c>
      <c r="V603" s="11" t="str">
        <v>All</v>
      </c>
      <c r="X603">
        <f t="shared" ca="1" si="329"/>
        <v>6.2538255151430133E-2</v>
      </c>
      <c r="Z603" s="17">
        <f t="shared" ca="1" si="330"/>
        <v>46213</v>
      </c>
      <c r="AG603" s="33">
        <f t="shared" ca="1" si="331"/>
        <v>7.0916107380642149E-2</v>
      </c>
      <c r="AH603">
        <f t="shared" ca="1" si="332"/>
        <v>7.5928167561626569E-2</v>
      </c>
      <c r="AI603">
        <f t="shared" ca="1" si="333"/>
        <v>7.6871552009112581E-2</v>
      </c>
      <c r="AJ603">
        <f t="shared" ca="1" si="334"/>
        <v>7.7568071451350348E-2</v>
      </c>
      <c r="AK603">
        <f t="shared" ca="1" si="335"/>
        <v>7.8328673872454721E-2</v>
      </c>
    </row>
    <row r="604" spans="1:37" ht="17.25" customHeight="1">
      <c r="A604" s="19"/>
      <c r="B604" s="45" t="s">
        <v>465</v>
      </c>
      <c r="C604" s="36" t="s">
        <v>35</v>
      </c>
      <c r="D604" s="36" t="s">
        <v>27</v>
      </c>
      <c r="E604" s="28" t="s">
        <v>63</v>
      </c>
      <c r="F604" s="36" t="s">
        <v>29</v>
      </c>
      <c r="G604" s="28" t="s">
        <v>38</v>
      </c>
      <c r="H604" s="51" t="str">
        <f>HYPERLINK("https://innovativeincomeinvestor.com/security/ddr-corp-6-375-class-a-cumulative-redeemable-preferred-stock/","SITC-A")</f>
        <v>SITC-A</v>
      </c>
      <c r="I604" s="47">
        <v>6.3750000000000001E-2</v>
      </c>
      <c r="J604" s="86" t="s">
        <v>68</v>
      </c>
      <c r="K604" s="86" t="s">
        <v>68</v>
      </c>
      <c r="L604" s="86" t="s">
        <v>68</v>
      </c>
      <c r="M604" s="86" t="s">
        <v>68</v>
      </c>
      <c r="N604" s="28" t="s">
        <v>31</v>
      </c>
      <c r="O604" s="28" t="s">
        <v>30</v>
      </c>
      <c r="P604" s="28" t="s">
        <v>83</v>
      </c>
      <c r="Q604" s="29">
        <f t="shared" ref="Q604:Q605" si="346">(I604*25)/4</f>
        <v>0.3984375</v>
      </c>
      <c r="R604" s="53">
        <v>44717</v>
      </c>
      <c r="S604" s="54" t="s">
        <v>41</v>
      </c>
      <c r="T604" s="62" t="s">
        <v>60</v>
      </c>
      <c r="U604" s="16">
        <f t="shared" ca="1" si="345"/>
        <v>-3.0986301369863014</v>
      </c>
      <c r="V604" s="11" t="str">
        <v>All</v>
      </c>
      <c r="X604" t="e">
        <f t="shared" ca="1" si="329"/>
        <v>#VALUE!</v>
      </c>
      <c r="Z604" s="17">
        <f t="shared" ca="1" si="330"/>
        <v>46213</v>
      </c>
      <c r="AG604" s="33" t="e">
        <f t="shared" ca="1" si="331"/>
        <v>#VALUE!</v>
      </c>
      <c r="AH604" t="e">
        <f t="shared" ca="1" si="332"/>
        <v>#VALUE!</v>
      </c>
      <c r="AI604" t="e">
        <f t="shared" ca="1" si="333"/>
        <v>#VALUE!</v>
      </c>
      <c r="AJ604" t="e">
        <f t="shared" ca="1" si="334"/>
        <v>#VALUE!</v>
      </c>
      <c r="AK604" t="e">
        <f t="shared" ca="1" si="335"/>
        <v>#VALUE!</v>
      </c>
    </row>
    <row r="605" spans="1:37" ht="17.25" customHeight="1">
      <c r="A605" s="19"/>
      <c r="B605" s="45" t="s">
        <v>466</v>
      </c>
      <c r="C605" s="36" t="s">
        <v>35</v>
      </c>
      <c r="D605" s="36" t="s">
        <v>27</v>
      </c>
      <c r="E605" s="28" t="s">
        <v>63</v>
      </c>
      <c r="F605" s="36" t="s">
        <v>29</v>
      </c>
      <c r="G605" s="28" t="s">
        <v>38</v>
      </c>
      <c r="H605" s="51" t="str">
        <f>HYPERLINK("https://innovativeincomeinvestor.com/security/sl-green-realty-corp-6-50-series-i-cumulative-redeemable-preferred-stock/","SLG-I")</f>
        <v>SLG-I</v>
      </c>
      <c r="I605" s="47">
        <v>6.5000000000000002E-2</v>
      </c>
      <c r="J605" s="65">
        <f ca="1">IFERROR(__xludf.DUMMYFUNCTION("GoogleFinance(H605)"),21.97)</f>
        <v>21.97</v>
      </c>
      <c r="K605" s="48">
        <f ca="1">IFERROR(__xludf.DUMMYFUNCTION("googlefinance(H605,""change"")"),-0.16)</f>
        <v>-0.16</v>
      </c>
      <c r="L605" s="27">
        <f ca="1">(Q605*4)/J605</f>
        <v>7.3964497041420121E-2</v>
      </c>
      <c r="M605" s="27">
        <f ca="1">(25-J605)/25</f>
        <v>0.12120000000000004</v>
      </c>
      <c r="N605" s="28" t="s">
        <v>31</v>
      </c>
      <c r="O605" s="28" t="s">
        <v>30</v>
      </c>
      <c r="P605" s="28" t="s">
        <v>83</v>
      </c>
      <c r="Q605" s="29">
        <f t="shared" si="346"/>
        <v>0.40625</v>
      </c>
      <c r="R605" s="64">
        <v>42957</v>
      </c>
      <c r="S605" s="54" t="s">
        <v>41</v>
      </c>
      <c r="T605" s="50" t="s">
        <v>60</v>
      </c>
      <c r="U605" s="16">
        <f t="shared" ca="1" si="345"/>
        <v>-7.9205479452054792</v>
      </c>
      <c r="V605" s="11" t="str">
        <v>All</v>
      </c>
      <c r="X605">
        <f t="shared" ca="1" si="329"/>
        <v>0.20186765226501394</v>
      </c>
      <c r="Z605" s="17">
        <f t="shared" ca="1" si="330"/>
        <v>46213</v>
      </c>
      <c r="AG605" s="33">
        <f t="shared" ca="1" si="331"/>
        <v>0.13517225590663023</v>
      </c>
      <c r="AH605">
        <f t="shared" ca="1" si="332"/>
        <v>9.5804060315453535E-2</v>
      </c>
      <c r="AI605">
        <f t="shared" ca="1" si="333"/>
        <v>8.8419216488965738E-2</v>
      </c>
      <c r="AJ605">
        <f t="shared" ca="1" si="334"/>
        <v>8.2958840534178208E-2</v>
      </c>
      <c r="AK605">
        <f t="shared" ca="1" si="335"/>
        <v>7.6922811670407987E-2</v>
      </c>
    </row>
    <row r="606" spans="1:37" ht="17.25" customHeight="1">
      <c r="A606" s="19"/>
      <c r="B606" s="100" t="s">
        <v>467</v>
      </c>
      <c r="C606" s="71" t="s">
        <v>35</v>
      </c>
      <c r="D606" s="71" t="s">
        <v>36</v>
      </c>
      <c r="E606" s="71" t="s">
        <v>176</v>
      </c>
      <c r="F606" s="71" t="s">
        <v>29</v>
      </c>
      <c r="G606" s="71" t="s">
        <v>177</v>
      </c>
      <c r="H606" s="130" t="str">
        <f>HYPERLINK("https://innovativeincomeinvestor.com/security/sound-point-meridian-capital-inc-8-00-series-a-preferred-due-2029/","SPMA")</f>
        <v>SPMA</v>
      </c>
      <c r="I606" s="73">
        <v>0.08</v>
      </c>
      <c r="J606" s="74">
        <f ca="1">IFERROR(__xludf.DUMMYFUNCTION("GoogleFinance(H606)"),25.06)</f>
        <v>25.06</v>
      </c>
      <c r="K606" s="102">
        <f ca="1">IFERROR(__xludf.DUMMYFUNCTION("googlefinance(H606,""change"")"),0.1)</f>
        <v>0.1</v>
      </c>
      <c r="L606" s="75">
        <f ca="1">(Q606*12)/J606</f>
        <v>7.9805267358339982E-2</v>
      </c>
      <c r="M606" s="75">
        <f t="array" aca="1" ref="M606" ca="1">L606*U606+(25-J606)/25/U606</f>
        <v>0.109347031148542</v>
      </c>
      <c r="N606" s="71" t="s">
        <v>31</v>
      </c>
      <c r="O606" s="75" t="s">
        <v>32</v>
      </c>
      <c r="P606" s="75" t="s">
        <v>32</v>
      </c>
      <c r="Q606" s="76">
        <v>0.16666</v>
      </c>
      <c r="R606" s="77">
        <v>46356</v>
      </c>
      <c r="S606" s="158">
        <v>47452</v>
      </c>
      <c r="T606" s="78" t="s">
        <v>178</v>
      </c>
      <c r="U606" s="231">
        <f t="shared" ca="1" si="345"/>
        <v>1.3917808219178083</v>
      </c>
      <c r="V606" s="15" t="str">
        <v>All</v>
      </c>
      <c r="X606">
        <f t="shared" ca="1" si="329"/>
        <v>7.7482661220094576E-2</v>
      </c>
      <c r="Z606" s="17">
        <f t="shared" ca="1" si="330"/>
        <v>46213</v>
      </c>
      <c r="AG606" s="33">
        <f t="shared" ca="1" si="331"/>
        <v>7.8691353014671478E-2</v>
      </c>
      <c r="AH606">
        <f t="shared" ca="1" si="332"/>
        <v>7.9412934491076281E-2</v>
      </c>
      <c r="AI606">
        <f t="shared" ca="1" si="333"/>
        <v>7.9548489384284993E-2</v>
      </c>
      <c r="AJ606">
        <f t="shared" ca="1" si="334"/>
        <v>7.9648853194138308E-2</v>
      </c>
      <c r="AK606">
        <f t="shared" ca="1" si="335"/>
        <v>7.9757785706995446E-2</v>
      </c>
    </row>
    <row r="607" spans="1:37" ht="17.25" customHeight="1">
      <c r="A607" s="19"/>
      <c r="B607" s="45" t="s">
        <v>468</v>
      </c>
      <c r="C607" s="36" t="s">
        <v>35</v>
      </c>
      <c r="D607" s="36" t="s">
        <v>35</v>
      </c>
      <c r="E607" s="28" t="s">
        <v>73</v>
      </c>
      <c r="F607" s="36" t="s">
        <v>29</v>
      </c>
      <c r="G607" s="28" t="s">
        <v>38</v>
      </c>
      <c r="H607" s="51" t="str">
        <f>HYPERLINK("https://innovativeincomeinvestor.com/security/southern-california-gas-co-6-series-a-cumulative-preferred-stock/","SOCGP")</f>
        <v>SOCGP</v>
      </c>
      <c r="I607" s="47">
        <v>0.06</v>
      </c>
      <c r="J607" s="65">
        <f ca="1">IFERROR(__xludf.DUMMYFUNCTION("GoogleFinance(H607)"),25)</f>
        <v>25</v>
      </c>
      <c r="K607" s="48">
        <f ca="1">IFERROR(__xludf.DUMMYFUNCTION("googlefinance(H607,""change"")"),0.03)</f>
        <v>0.03</v>
      </c>
      <c r="L607" s="27">
        <f ca="1">(Q607*4)/J607</f>
        <v>0.06</v>
      </c>
      <c r="M607" s="28" t="s">
        <v>49</v>
      </c>
      <c r="N607" s="28" t="s">
        <v>39</v>
      </c>
      <c r="O607" s="28" t="s">
        <v>311</v>
      </c>
      <c r="P607" s="28" t="s">
        <v>92</v>
      </c>
      <c r="Q607" s="29">
        <f>(I607*25)/4</f>
        <v>0.375</v>
      </c>
      <c r="R607" s="28" t="s">
        <v>469</v>
      </c>
      <c r="S607" s="54" t="s">
        <v>41</v>
      </c>
      <c r="T607" s="50" t="s">
        <v>60</v>
      </c>
      <c r="U607" s="16" t="e">
        <f t="shared" ca="1" si="345"/>
        <v>#VALUE!</v>
      </c>
      <c r="V607" s="11" t="str">
        <v>All</v>
      </c>
      <c r="X607">
        <f t="shared" ca="1" si="329"/>
        <v>0.06</v>
      </c>
      <c r="Z607" s="17">
        <f t="shared" ca="1" si="330"/>
        <v>46213</v>
      </c>
      <c r="AG607" s="33">
        <f t="shared" ca="1" si="331"/>
        <v>0.06</v>
      </c>
      <c r="AH607">
        <f t="shared" ca="1" si="332"/>
        <v>5.9999714704665814E-2</v>
      </c>
      <c r="AI607">
        <f t="shared" ca="1" si="333"/>
        <v>5.9999573705086275E-2</v>
      </c>
      <c r="AJ607">
        <f t="shared" ca="1" si="334"/>
        <v>5.9999676223782251E-2</v>
      </c>
      <c r="AK607">
        <f t="shared" ca="1" si="335"/>
        <v>5.9999495934743928E-2</v>
      </c>
    </row>
    <row r="608" spans="1:37" ht="17.25" customHeight="1">
      <c r="A608" s="68"/>
      <c r="B608" s="69" t="s">
        <v>470</v>
      </c>
      <c r="C608" s="28" t="s">
        <v>27</v>
      </c>
      <c r="D608" s="28" t="s">
        <v>27</v>
      </c>
      <c r="E608" s="28" t="s">
        <v>73</v>
      </c>
      <c r="F608" s="36" t="s">
        <v>29</v>
      </c>
      <c r="G608" s="28" t="s">
        <v>30</v>
      </c>
      <c r="H608" s="51" t="str">
        <f>HYPERLINK("https://innovativeincomeinvestor.com/security/the-southern-company-2/","SOJC")</f>
        <v>SOJC</v>
      </c>
      <c r="I608" s="47">
        <v>5.2499999999999998E-2</v>
      </c>
      <c r="J608" s="56">
        <f ca="1">IFERROR(__xludf.DUMMYFUNCTION("IMPORTXML(""https://bigcharts.marketwatch.com/quickchart/quickchart.asp?symb=sojc&amp;insttype=Stock"",""html/body/div[1]/div[2]/table/tbody/tr/td[1]/table/tbody/tr[3]/td[1]/div"")"),21.78)</f>
        <v>21.78</v>
      </c>
      <c r="K608" s="26">
        <f ca="1">IFERROR(__xludf.DUMMYFUNCTION("GOOGLEFINANCE(H608,""change"")"),0.04)</f>
        <v>0.04</v>
      </c>
      <c r="L608" s="27">
        <f ca="1">Q608*4/J608</f>
        <v>6.0238751147842058E-2</v>
      </c>
      <c r="M608" s="27">
        <f t="shared" ref="M608:M609" ca="1" si="347">(25-J608)/25</f>
        <v>0.12879999999999994</v>
      </c>
      <c r="N608" s="28" t="s">
        <v>39</v>
      </c>
      <c r="O608" s="28" t="s">
        <v>50</v>
      </c>
      <c r="P608" s="28" t="s">
        <v>76</v>
      </c>
      <c r="Q608" s="65">
        <v>0.32800000000000001</v>
      </c>
      <c r="R608" s="64">
        <v>44896</v>
      </c>
      <c r="S608" s="64">
        <v>64985</v>
      </c>
      <c r="T608" s="62" t="s">
        <v>81</v>
      </c>
      <c r="U608" s="16">
        <f t="shared" ca="1" si="345"/>
        <v>-2.6082191780821917</v>
      </c>
      <c r="V608" s="11" t="str">
        <v>All</v>
      </c>
      <c r="X608">
        <f t="shared" ca="1" si="329"/>
        <v>0.19758913272242831</v>
      </c>
      <c r="Z608" s="17">
        <f t="shared" ca="1" si="330"/>
        <v>46213</v>
      </c>
      <c r="AG608" s="33">
        <f t="shared" ca="1" si="331"/>
        <v>0.12638885512721793</v>
      </c>
      <c r="AH608">
        <f t="shared" ca="1" si="332"/>
        <v>8.435375109263081E-2</v>
      </c>
      <c r="AI608">
        <f t="shared" ca="1" si="333"/>
        <v>7.6445152947895209E-2</v>
      </c>
      <c r="AJ608">
        <f t="shared" ca="1" si="334"/>
        <v>7.0570197716095837E-2</v>
      </c>
      <c r="AK608">
        <f t="shared" ca="1" si="335"/>
        <v>6.3962801980934042E-2</v>
      </c>
    </row>
    <row r="609" spans="1:37" ht="17.25" customHeight="1">
      <c r="A609" s="19"/>
      <c r="B609" s="45" t="s">
        <v>470</v>
      </c>
      <c r="C609" s="36" t="s">
        <v>27</v>
      </c>
      <c r="D609" s="36" t="s">
        <v>27</v>
      </c>
      <c r="E609" s="36" t="s">
        <v>73</v>
      </c>
      <c r="F609" s="28" t="s">
        <v>29</v>
      </c>
      <c r="G609" s="28" t="s">
        <v>30</v>
      </c>
      <c r="H609" s="55" t="str">
        <f>HYPERLINK("https://innovativeincomeinvestor.com/security/southern-company-series-2020a-4-95-jounior-subordinated-notes-due-1-30-2080/","SOJD")</f>
        <v>SOJD</v>
      </c>
      <c r="I609" s="47">
        <v>4.9500000000000002E-2</v>
      </c>
      <c r="J609" s="26">
        <f ca="1">IFERROR(__xludf.DUMMYFUNCTION("GOOGLEFINANCE(H609)"),20.33)</f>
        <v>20.329999999999998</v>
      </c>
      <c r="K609" s="26">
        <f ca="1">IFERROR(__xludf.DUMMYFUNCTION("GOOGLEFINANCE(H609,""change"")"),-0.04)</f>
        <v>-0.04</v>
      </c>
      <c r="L609" s="27">
        <f t="shared" ref="L609:L613" ca="1" si="348">(Q609*4)/J609</f>
        <v>6.0993605509099859E-2</v>
      </c>
      <c r="M609" s="27">
        <f t="shared" ca="1" si="347"/>
        <v>0.18680000000000008</v>
      </c>
      <c r="N609" s="28" t="s">
        <v>39</v>
      </c>
      <c r="O609" s="28" t="s">
        <v>50</v>
      </c>
      <c r="P609" s="28" t="s">
        <v>76</v>
      </c>
      <c r="Q609" s="29">
        <v>0.31</v>
      </c>
      <c r="R609" s="64">
        <v>45687</v>
      </c>
      <c r="S609" s="64">
        <v>65775</v>
      </c>
      <c r="T609" s="62" t="s">
        <v>45</v>
      </c>
      <c r="U609" s="16">
        <f t="shared" ca="1" si="345"/>
        <v>-0.44109589041095892</v>
      </c>
      <c r="V609" s="11" t="str">
        <v>All</v>
      </c>
      <c r="X609">
        <f t="shared" ca="1" si="329"/>
        <v>0.26868777003154337</v>
      </c>
      <c r="Z609" s="17">
        <f t="shared" ca="1" si="330"/>
        <v>46213</v>
      </c>
      <c r="AG609" s="33">
        <f t="shared" ca="1" si="331"/>
        <v>0.16054211237430405</v>
      </c>
      <c r="AH609">
        <f t="shared" ca="1" si="332"/>
        <v>9.7126265146854462E-2</v>
      </c>
      <c r="AI609">
        <f t="shared" ca="1" si="333"/>
        <v>8.5228298094472868E-2</v>
      </c>
      <c r="AJ609">
        <f t="shared" ca="1" si="334"/>
        <v>7.6394097605261724E-2</v>
      </c>
      <c r="AK609">
        <f t="shared" ca="1" si="335"/>
        <v>6.6455195811749551E-2</v>
      </c>
    </row>
    <row r="610" spans="1:37" ht="17.25" customHeight="1">
      <c r="A610" s="19"/>
      <c r="B610" s="45" t="s">
        <v>470</v>
      </c>
      <c r="C610" s="36" t="s">
        <v>27</v>
      </c>
      <c r="D610" s="36" t="s">
        <v>27</v>
      </c>
      <c r="E610" s="36" t="s">
        <v>73</v>
      </c>
      <c r="F610" s="28" t="s">
        <v>29</v>
      </c>
      <c r="G610" s="28" t="s">
        <v>30</v>
      </c>
      <c r="H610" s="63" t="str">
        <f>HYPERLINK("https://innovativeincomeinvestor.com/security/souther-company-series-2020c-4-20-junior-subordinated-notes-due-october-15-2060/","SOJE")</f>
        <v>SOJE</v>
      </c>
      <c r="I610" s="47">
        <v>4.2000000000000003E-2</v>
      </c>
      <c r="J610" s="26">
        <f ca="1">IFERROR(__xludf.DUMMYFUNCTION("GOOGLEFINANCE(H610)"),17.91)</f>
        <v>17.91</v>
      </c>
      <c r="K610" s="26">
        <f ca="1">IFERROR(__xludf.DUMMYFUNCTION("GOOGLEFINANCE(H610,""change"")"),-0.05)</f>
        <v>-0.05</v>
      </c>
      <c r="L610" s="27">
        <f t="shared" ca="1" si="348"/>
        <v>5.8626465661641543E-2</v>
      </c>
      <c r="M610" s="27">
        <f t="array" aca="1" ref="M610" ca="1">L610*U610+(25-J610)/25/U610</f>
        <v>1.0827348232004064</v>
      </c>
      <c r="N610" s="28" t="s">
        <v>39</v>
      </c>
      <c r="O610" s="28" t="s">
        <v>50</v>
      </c>
      <c r="P610" s="28" t="s">
        <v>76</v>
      </c>
      <c r="Q610" s="29">
        <f>(I610*25)/4</f>
        <v>0.26250000000000001</v>
      </c>
      <c r="R610" s="64">
        <v>45945</v>
      </c>
      <c r="S610" s="61">
        <v>58729</v>
      </c>
      <c r="T610" s="62" t="s">
        <v>60</v>
      </c>
      <c r="U610" s="16">
        <f t="shared" ca="1" si="345"/>
        <v>0.26575342465753427</v>
      </c>
      <c r="V610" s="11" t="str">
        <v>All</v>
      </c>
      <c r="X610">
        <f t="shared" ca="1" si="329"/>
        <v>0.39983887513675481</v>
      </c>
      <c r="Z610" s="17">
        <f t="shared" ca="1" si="330"/>
        <v>46213</v>
      </c>
      <c r="AG610" s="33">
        <f t="shared" ca="1" si="331"/>
        <v>0.22131681165968312</v>
      </c>
      <c r="AH610">
        <f t="shared" ca="1" si="332"/>
        <v>0.11791277936561642</v>
      </c>
      <c r="AI610">
        <f t="shared" ca="1" si="333"/>
        <v>9.8600639381182603E-2</v>
      </c>
      <c r="AJ610">
        <f t="shared" ca="1" si="334"/>
        <v>8.4262409217938844E-2</v>
      </c>
      <c r="AK610">
        <f t="shared" ca="1" si="335"/>
        <v>6.8069040992439545E-2</v>
      </c>
    </row>
    <row r="611" spans="1:37" ht="17.25" customHeight="1">
      <c r="A611" s="19"/>
      <c r="B611" s="45" t="s">
        <v>470</v>
      </c>
      <c r="C611" s="36" t="s">
        <v>27</v>
      </c>
      <c r="D611" s="36" t="s">
        <v>27</v>
      </c>
      <c r="E611" s="36" t="s">
        <v>73</v>
      </c>
      <c r="F611" s="36" t="s">
        <v>29</v>
      </c>
      <c r="G611" s="28" t="s">
        <v>30</v>
      </c>
      <c r="H611" s="51" t="str">
        <f>HYPERLINK("https://innovativeincomeinvestor.com/security/the-southern-company-6-50-junior-subordinated-notes-due-march-15-2085/","SOJF")</f>
        <v>SOJF</v>
      </c>
      <c r="I611" s="47">
        <v>6.5000000000000002E-2</v>
      </c>
      <c r="J611" s="26">
        <f ca="1">IFERROR(__xludf.DUMMYFUNCTION("GOOGLEFINANCE(H611)"),25.67)</f>
        <v>25.67</v>
      </c>
      <c r="K611" s="26">
        <f ca="1">IFERROR(__xludf.DUMMYFUNCTION("GOOGLEFINANCE(H611,""change"")"),-0.08)</f>
        <v>-0.08</v>
      </c>
      <c r="L611" s="27">
        <f t="shared" ca="1" si="348"/>
        <v>6.3303467082197112E-2</v>
      </c>
      <c r="M611" s="27"/>
      <c r="N611" s="28" t="s">
        <v>39</v>
      </c>
      <c r="O611" s="28" t="s">
        <v>50</v>
      </c>
      <c r="P611" s="28" t="s">
        <v>76</v>
      </c>
      <c r="Q611" s="29">
        <v>0.40625</v>
      </c>
      <c r="R611" s="64">
        <v>47557</v>
      </c>
      <c r="S611" s="61">
        <v>67646</v>
      </c>
      <c r="T611" s="62" t="s">
        <v>52</v>
      </c>
      <c r="U611" s="16"/>
      <c r="V611" s="11" t="str">
        <v>All</v>
      </c>
      <c r="X611">
        <f t="shared" ca="1" si="329"/>
        <v>3.7567798250411379E-2</v>
      </c>
      <c r="Z611" s="17">
        <f t="shared" ca="1" si="330"/>
        <v>46213</v>
      </c>
      <c r="AG611" s="33">
        <f t="shared" ca="1" si="331"/>
        <v>5.0822566466782564E-2</v>
      </c>
      <c r="AH611">
        <f t="shared" ca="1" si="332"/>
        <v>5.8771660424996243E-2</v>
      </c>
      <c r="AI611">
        <f t="shared" ca="1" si="333"/>
        <v>6.0275272177645264E-2</v>
      </c>
      <c r="AJ611">
        <f t="shared" ca="1" si="334"/>
        <v>6.1391994369643751E-2</v>
      </c>
      <c r="AK611">
        <f t="shared" ca="1" si="335"/>
        <v>6.2639182421522124E-2</v>
      </c>
    </row>
    <row r="612" spans="1:37" ht="17.25" customHeight="1">
      <c r="A612" s="19"/>
      <c r="B612" s="45" t="s">
        <v>471</v>
      </c>
      <c r="C612" s="36" t="s">
        <v>35</v>
      </c>
      <c r="D612" s="36" t="s">
        <v>35</v>
      </c>
      <c r="E612" s="36" t="s">
        <v>73</v>
      </c>
      <c r="F612" s="36" t="s">
        <v>29</v>
      </c>
      <c r="G612" s="28" t="s">
        <v>38</v>
      </c>
      <c r="H612" s="63" t="str">
        <f>HYPERLINK("https://innovativeincomeinvestor.com/security/spire-inc-5-90-series-a-cumulative-redeemable-perpetual-preferred-stock/","SR-A")</f>
        <v>SR-A</v>
      </c>
      <c r="I612" s="47">
        <v>5.8999999999999997E-2</v>
      </c>
      <c r="J612" s="65">
        <f ca="1">IFERROR(__xludf.DUMMYFUNCTION("GoogleFinance(H612)"),23.84)</f>
        <v>23.84</v>
      </c>
      <c r="K612" s="48">
        <f ca="1">IFERROR(__xludf.DUMMYFUNCTION("googlefinance(H612,""change"")"),-0.06)</f>
        <v>-0.06</v>
      </c>
      <c r="L612" s="27">
        <f t="shared" ca="1" si="348"/>
        <v>6.1870805369127514E-2</v>
      </c>
      <c r="M612" s="27">
        <f t="shared" ref="M612:M613" ca="1" si="349">L612*U612+(25-J612)/25/U612</f>
        <v>-0.10724568300753409</v>
      </c>
      <c r="N612" s="28" t="s">
        <v>39</v>
      </c>
      <c r="O612" s="28" t="s">
        <v>55</v>
      </c>
      <c r="P612" s="28" t="s">
        <v>83</v>
      </c>
      <c r="Q612" s="29">
        <f t="shared" ref="Q612:Q617" si="350">(I612*25)/4</f>
        <v>0.36874999999999997</v>
      </c>
      <c r="R612" s="64">
        <v>45519</v>
      </c>
      <c r="S612" s="54" t="s">
        <v>86</v>
      </c>
      <c r="T612" s="62" t="s">
        <v>33</v>
      </c>
      <c r="U612" s="16">
        <f t="shared" ref="U612:U625" ca="1" si="351">(R612-TODAY())/365</f>
        <v>-0.90136986301369859</v>
      </c>
      <c r="V612" s="11" t="str">
        <v>All</v>
      </c>
      <c r="X612">
        <f t="shared" ca="1" si="329"/>
        <v>0.10859131591579141</v>
      </c>
      <c r="Z612" s="17">
        <f t="shared" ca="1" si="330"/>
        <v>46213</v>
      </c>
      <c r="AG612" s="33">
        <f t="shared" ca="1" si="331"/>
        <v>8.4458066014213906E-2</v>
      </c>
      <c r="AH612">
        <f t="shared" ca="1" si="332"/>
        <v>7.0085826100797888E-2</v>
      </c>
      <c r="AI612">
        <f t="shared" ca="1" si="333"/>
        <v>6.7373430430192727E-2</v>
      </c>
      <c r="AJ612">
        <f t="shared" ca="1" si="334"/>
        <v>6.5358995454011554E-2</v>
      </c>
      <c r="AK612">
        <f t="shared" ca="1" si="335"/>
        <v>6.3100906355941705E-2</v>
      </c>
    </row>
    <row r="613" spans="1:37" ht="17.25" customHeight="1">
      <c r="A613" s="19"/>
      <c r="B613" s="45" t="s">
        <v>472</v>
      </c>
      <c r="C613" s="28" t="s">
        <v>27</v>
      </c>
      <c r="D613" s="28" t="s">
        <v>35</v>
      </c>
      <c r="E613" s="28" t="s">
        <v>117</v>
      </c>
      <c r="F613" s="36" t="s">
        <v>29</v>
      </c>
      <c r="G613" s="28" t="s">
        <v>38</v>
      </c>
      <c r="H613" s="66" t="str">
        <f>HYPERLINK("https://innovativeincomeinvestor.com/security/state-street-corp-5-35-dep-shares-fixfloat-non-cumul-preferred-stock-ser-g/","STT-G")</f>
        <v>STT-G</v>
      </c>
      <c r="I613" s="47">
        <v>5.3499999999999999E-2</v>
      </c>
      <c r="J613" s="65">
        <f ca="1">IFERROR(__xludf.DUMMYFUNCTION("GoogleFinance(H613)"),22.17)</f>
        <v>22.17</v>
      </c>
      <c r="K613" s="48">
        <f ca="1">IFERROR(__xludf.DUMMYFUNCTION("googlefinance(H613,""change"")"),-0.07)</f>
        <v>-7.0000000000000007E-2</v>
      </c>
      <c r="L613" s="27">
        <f t="shared" ca="1" si="348"/>
        <v>6.0329273793414517E-2</v>
      </c>
      <c r="M613" s="27">
        <f t="shared" ca="1" si="349"/>
        <v>0.20759568775287404</v>
      </c>
      <c r="N613" s="28" t="s">
        <v>39</v>
      </c>
      <c r="O613" s="28" t="s">
        <v>473</v>
      </c>
      <c r="P613" s="28" t="s">
        <v>51</v>
      </c>
      <c r="Q613" s="29">
        <f t="shared" si="350"/>
        <v>0.33437499999999998</v>
      </c>
      <c r="R613" s="64">
        <v>46096</v>
      </c>
      <c r="S613" s="54" t="s">
        <v>41</v>
      </c>
      <c r="T613" s="62" t="s">
        <v>52</v>
      </c>
      <c r="U613" s="16">
        <f t="shared" ca="1" si="351"/>
        <v>0.67945205479452053</v>
      </c>
      <c r="V613" s="11" t="str">
        <v>All</v>
      </c>
      <c r="X613">
        <f t="shared" ca="1" si="329"/>
        <v>0.17969241656412704</v>
      </c>
      <c r="Z613" s="17">
        <f t="shared" ca="1" si="330"/>
        <v>46213</v>
      </c>
      <c r="AG613" s="33">
        <f t="shared" ca="1" si="331"/>
        <v>0.11785866680292764</v>
      </c>
      <c r="AH613">
        <f t="shared" ca="1" si="332"/>
        <v>8.129021423066346E-2</v>
      </c>
      <c r="AI613">
        <f t="shared" ca="1" si="333"/>
        <v>7.4405528390373579E-2</v>
      </c>
      <c r="AJ613">
        <f t="shared" ca="1" si="334"/>
        <v>6.9290934241255639E-2</v>
      </c>
      <c r="AK613">
        <f t="shared" ca="1" si="335"/>
        <v>6.3540673627040065E-2</v>
      </c>
    </row>
    <row r="614" spans="1:37" ht="17.25" customHeight="1">
      <c r="A614" s="19"/>
      <c r="B614" s="45" t="s">
        <v>472</v>
      </c>
      <c r="C614" s="28" t="s">
        <v>27</v>
      </c>
      <c r="D614" s="28" t="s">
        <v>35</v>
      </c>
      <c r="E614" s="28" t="s">
        <v>117</v>
      </c>
      <c r="F614" s="36" t="s">
        <v>29</v>
      </c>
      <c r="G614" s="28" t="s">
        <v>38</v>
      </c>
      <c r="H614" s="66" t="str">
        <f>HYPERLINK("https://innovativeincomeinvestor.com/security/state-street-corp-5-90-dep-shares-fixfloat-non-cumul-preferred-stock-ser-d/","STT-D")</f>
        <v>STT-D</v>
      </c>
      <c r="I614" s="47">
        <v>5.8999999999999997E-2</v>
      </c>
      <c r="J614" s="86" t="s">
        <v>68</v>
      </c>
      <c r="K614" s="86" t="s">
        <v>68</v>
      </c>
      <c r="L614" s="86" t="s">
        <v>68</v>
      </c>
      <c r="M614" s="86" t="s">
        <v>68</v>
      </c>
      <c r="N614" s="28" t="s">
        <v>39</v>
      </c>
      <c r="O614" s="28" t="s">
        <v>473</v>
      </c>
      <c r="P614" s="28" t="s">
        <v>51</v>
      </c>
      <c r="Q614" s="29">
        <f t="shared" si="350"/>
        <v>0.36874999999999997</v>
      </c>
      <c r="R614" s="64">
        <v>45366</v>
      </c>
      <c r="S614" s="54" t="s">
        <v>41</v>
      </c>
      <c r="T614" s="62" t="s">
        <v>52</v>
      </c>
      <c r="U614" s="16">
        <f t="shared" ca="1" si="351"/>
        <v>-1.3205479452054794</v>
      </c>
      <c r="V614" s="11" t="str">
        <v>All</v>
      </c>
      <c r="X614" t="e">
        <f t="shared" ca="1" si="329"/>
        <v>#VALUE!</v>
      </c>
      <c r="Z614" s="17">
        <f t="shared" ca="1" si="330"/>
        <v>46213</v>
      </c>
      <c r="AG614" s="33" t="e">
        <f t="shared" ca="1" si="331"/>
        <v>#VALUE!</v>
      </c>
      <c r="AH614" t="e">
        <f t="shared" ca="1" si="332"/>
        <v>#VALUE!</v>
      </c>
      <c r="AI614" t="e">
        <f t="shared" ca="1" si="333"/>
        <v>#VALUE!</v>
      </c>
      <c r="AJ614" t="e">
        <f t="shared" ca="1" si="334"/>
        <v>#VALUE!</v>
      </c>
      <c r="AK614" t="e">
        <f t="shared" ca="1" si="335"/>
        <v>#VALUE!</v>
      </c>
    </row>
    <row r="615" spans="1:37" ht="17.25" customHeight="1">
      <c r="A615" s="19"/>
      <c r="B615" s="45" t="s">
        <v>474</v>
      </c>
      <c r="C615" s="28" t="s">
        <v>35</v>
      </c>
      <c r="D615" s="28" t="s">
        <v>27</v>
      </c>
      <c r="E615" s="28" t="s">
        <v>155</v>
      </c>
      <c r="F615" s="36" t="s">
        <v>29</v>
      </c>
      <c r="G615" s="28" t="s">
        <v>38</v>
      </c>
      <c r="H615" s="232" t="str">
        <f>HYPERLINK("https://innovativeincomeinvestor.com/security/steel-partners-holdings-lp-6-00-series-a-cumulative-preferred-units/","SPLPP")</f>
        <v>SPLPP</v>
      </c>
      <c r="I615" s="47">
        <v>0.06</v>
      </c>
      <c r="J615" s="65">
        <f ca="1">IFERROR(__xludf.DUMMYFUNCTION("GoogleFinance(H615)"),24.52)</f>
        <v>24.52</v>
      </c>
      <c r="K615" s="48">
        <f ca="1">IFERROR(__xludf.DUMMYFUNCTION("googlefinance(H615,""change"")"),0)</f>
        <v>0</v>
      </c>
      <c r="L615" s="27">
        <f t="shared" ref="L615:L626" ca="1" si="352">(Q615*4)/J615</f>
        <v>6.1174551386623165E-2</v>
      </c>
      <c r="M615" s="28" t="s">
        <v>49</v>
      </c>
      <c r="N615" s="28" t="s">
        <v>31</v>
      </c>
      <c r="O615" s="28" t="s">
        <v>32</v>
      </c>
      <c r="P615" s="28" t="s">
        <v>32</v>
      </c>
      <c r="Q615" s="29">
        <f t="shared" si="350"/>
        <v>0.375</v>
      </c>
      <c r="R615" s="28" t="s">
        <v>338</v>
      </c>
      <c r="S615" s="82">
        <v>46063</v>
      </c>
      <c r="T615" s="62" t="s">
        <v>52</v>
      </c>
      <c r="U615" s="16" t="e">
        <f t="shared" ca="1" si="351"/>
        <v>#VALUE!</v>
      </c>
      <c r="V615" s="11" t="str">
        <v>All</v>
      </c>
      <c r="X615">
        <f t="shared" ca="1" si="329"/>
        <v>8.0171604065784746E-2</v>
      </c>
      <c r="Z615" s="17">
        <f t="shared" ca="1" si="330"/>
        <v>46213</v>
      </c>
      <c r="AG615" s="33">
        <f t="shared" ca="1" si="331"/>
        <v>7.037551587142174E-2</v>
      </c>
      <c r="AH615">
        <f t="shared" ca="1" si="332"/>
        <v>6.4525140094146227E-2</v>
      </c>
      <c r="AI615">
        <f t="shared" ca="1" si="333"/>
        <v>6.3419627364722272E-2</v>
      </c>
      <c r="AJ615">
        <f t="shared" ca="1" si="334"/>
        <v>6.2598444947281742E-2</v>
      </c>
      <c r="AK615">
        <f t="shared" ca="1" si="335"/>
        <v>6.167744428701611E-2</v>
      </c>
    </row>
    <row r="616" spans="1:37" ht="17.25" customHeight="1">
      <c r="A616" s="19"/>
      <c r="B616" s="45" t="s">
        <v>475</v>
      </c>
      <c r="C616" s="28" t="s">
        <v>27</v>
      </c>
      <c r="D616" s="28" t="s">
        <v>35</v>
      </c>
      <c r="E616" s="28" t="s">
        <v>117</v>
      </c>
      <c r="F616" s="36" t="s">
        <v>29</v>
      </c>
      <c r="G616" s="28" t="s">
        <v>38</v>
      </c>
      <c r="H616" s="51" t="str">
        <f>HYPERLINK("https://innovativeincomeinvestor.com/security/stifel-financial-corporation-6-25-non-cumulative-preferred-stock-series-b/","SF-B")</f>
        <v>SF-B</v>
      </c>
      <c r="I616" s="47">
        <v>6.25E-2</v>
      </c>
      <c r="J616" s="65">
        <f ca="1">IFERROR(__xludf.DUMMYFUNCTION("GoogleFinance(H616)"),23.64)</f>
        <v>23.64</v>
      </c>
      <c r="K616" s="48">
        <f ca="1">IFERROR(__xludf.DUMMYFUNCTION("googlefinance(H616,""change"")"),-0.25)</f>
        <v>-0.25</v>
      </c>
      <c r="L616" s="27">
        <f t="shared" ca="1" si="352"/>
        <v>6.6095600676818952E-2</v>
      </c>
      <c r="M616" s="27">
        <f t="shared" ref="M616:M620" ca="1" si="353">L616*U616+(25-J616)/25/U616</f>
        <v>-0.12847743040778312</v>
      </c>
      <c r="N616" s="28" t="s">
        <v>31</v>
      </c>
      <c r="O616" s="28" t="s">
        <v>223</v>
      </c>
      <c r="P616" s="28" t="s">
        <v>32</v>
      </c>
      <c r="Q616" s="29">
        <f t="shared" si="350"/>
        <v>0.390625</v>
      </c>
      <c r="R616" s="64">
        <v>45366</v>
      </c>
      <c r="S616" s="54" t="s">
        <v>41</v>
      </c>
      <c r="T616" s="62" t="s">
        <v>52</v>
      </c>
      <c r="U616" s="16">
        <f t="shared" ca="1" si="351"/>
        <v>-1.3205479452054794</v>
      </c>
      <c r="V616" s="11" t="str">
        <v>All</v>
      </c>
      <c r="X616">
        <f t="shared" ca="1" si="329"/>
        <v>0.12107801728797821</v>
      </c>
      <c r="Z616" s="17">
        <f t="shared" ca="1" si="330"/>
        <v>46213</v>
      </c>
      <c r="AG616" s="33">
        <f t="shared" ca="1" si="331"/>
        <v>9.2609479915909954E-2</v>
      </c>
      <c r="AH616">
        <f t="shared" ca="1" si="332"/>
        <v>7.5674891070430947E-2</v>
      </c>
      <c r="AI616">
        <f t="shared" ca="1" si="333"/>
        <v>7.2483252257433392E-2</v>
      </c>
      <c r="AJ616">
        <f t="shared" ca="1" si="334"/>
        <v>7.0116409004509758E-2</v>
      </c>
      <c r="AK616">
        <f t="shared" ca="1" si="335"/>
        <v>6.747692342408354E-2</v>
      </c>
    </row>
    <row r="617" spans="1:37" ht="17.25" customHeight="1">
      <c r="A617" s="19"/>
      <c r="B617" s="45" t="s">
        <v>475</v>
      </c>
      <c r="C617" s="36" t="s">
        <v>27</v>
      </c>
      <c r="D617" s="36" t="s">
        <v>35</v>
      </c>
      <c r="E617" s="28" t="s">
        <v>117</v>
      </c>
      <c r="F617" s="36" t="s">
        <v>29</v>
      </c>
      <c r="G617" s="28" t="s">
        <v>38</v>
      </c>
      <c r="H617" s="83" t="str">
        <f>HYPERLINK("https://innovativeincomeinvestor.com/security/stifel-financial-corp-6-125-non-cumulative-preferred-stock-series-c/","SF-C")</f>
        <v>SF-C</v>
      </c>
      <c r="I617" s="47">
        <v>6.1249999999999999E-2</v>
      </c>
      <c r="J617" s="65">
        <f ca="1">IFERROR(__xludf.DUMMYFUNCTION("GoogleFinance(H617)"),22.98)</f>
        <v>22.98</v>
      </c>
      <c r="K617" s="48">
        <f ca="1">IFERROR(__xludf.DUMMYFUNCTION("googlefinance(H617,""change"")"),-0.18)</f>
        <v>-0.18</v>
      </c>
      <c r="L617" s="27">
        <f t="shared" ca="1" si="352"/>
        <v>6.6634029590948649E-2</v>
      </c>
      <c r="M617" s="27">
        <f t="shared" ca="1" si="353"/>
        <v>-1.1842439746295168</v>
      </c>
      <c r="N617" s="28" t="s">
        <v>31</v>
      </c>
      <c r="O617" s="28" t="s">
        <v>223</v>
      </c>
      <c r="P617" s="28" t="s">
        <v>32</v>
      </c>
      <c r="Q617" s="29">
        <f t="shared" si="350"/>
        <v>0.3828125</v>
      </c>
      <c r="R617" s="64">
        <v>45823</v>
      </c>
      <c r="S617" s="54" t="s">
        <v>41</v>
      </c>
      <c r="T617" s="62" t="s">
        <v>52</v>
      </c>
      <c r="U617" s="16">
        <f t="shared" ca="1" si="351"/>
        <v>-6.8493150684931503E-2</v>
      </c>
      <c r="V617" s="11" t="str">
        <v>All</v>
      </c>
      <c r="X617">
        <f t="shared" ca="1" si="329"/>
        <v>0.14975136607991771</v>
      </c>
      <c r="Z617" s="17">
        <f t="shared" ca="1" si="330"/>
        <v>46213</v>
      </c>
      <c r="AG617" s="33">
        <f t="shared" ca="1" si="331"/>
        <v>0.10664572957653991</v>
      </c>
      <c r="AH617">
        <f t="shared" ca="1" si="332"/>
        <v>8.1075725918813679E-2</v>
      </c>
      <c r="AI617">
        <f t="shared" ca="1" si="333"/>
        <v>7.6262290635172411E-2</v>
      </c>
      <c r="AJ617">
        <f t="shared" ca="1" si="334"/>
        <v>7.2693542820484541E-2</v>
      </c>
      <c r="AK617">
        <f t="shared" ca="1" si="335"/>
        <v>6.8714220821054009E-2</v>
      </c>
    </row>
    <row r="618" spans="1:37" ht="17.25" customHeight="1">
      <c r="A618" s="19"/>
      <c r="B618" s="45" t="s">
        <v>475</v>
      </c>
      <c r="C618" s="36" t="s">
        <v>27</v>
      </c>
      <c r="D618" s="36" t="s">
        <v>35</v>
      </c>
      <c r="E618" s="28" t="s">
        <v>117</v>
      </c>
      <c r="F618" s="36" t="s">
        <v>29</v>
      </c>
      <c r="G618" s="28" t="s">
        <v>38</v>
      </c>
      <c r="H618" s="55" t="str">
        <f>HYPERLINK("https://innovativeincomeinvestor.com/security/stifel-financial-corp-4-50-non-cumulative-preferred-stock-series-d/","SF-D")</f>
        <v>SF-D</v>
      </c>
      <c r="I618" s="47">
        <v>4.4999999999999998E-2</v>
      </c>
      <c r="J618" s="65">
        <f ca="1">IFERROR(__xludf.DUMMYFUNCTION("GoogleFinance(H618)"),17.24)</f>
        <v>17.239999999999998</v>
      </c>
      <c r="K618" s="48">
        <f ca="1">IFERROR(__xludf.DUMMYFUNCTION("googlefinance(H618,""change"")"),-0.14)</f>
        <v>-0.14000000000000001</v>
      </c>
      <c r="L618" s="27">
        <f t="shared" ca="1" si="352"/>
        <v>6.4965197215777273E-2</v>
      </c>
      <c r="M618" s="27">
        <f t="shared" ca="1" si="353"/>
        <v>0.35390638935192298</v>
      </c>
      <c r="N618" s="28" t="s">
        <v>31</v>
      </c>
      <c r="O618" s="28" t="s">
        <v>223</v>
      </c>
      <c r="P618" s="28" t="s">
        <v>32</v>
      </c>
      <c r="Q618" s="29">
        <v>0.28000000000000003</v>
      </c>
      <c r="R618" s="64">
        <v>46249</v>
      </c>
      <c r="S618" s="54" t="s">
        <v>41</v>
      </c>
      <c r="T618" s="62" t="s">
        <v>52</v>
      </c>
      <c r="U618" s="16">
        <f t="shared" ca="1" si="351"/>
        <v>1.0986301369863014</v>
      </c>
      <c r="V618" s="11" t="str">
        <v>All</v>
      </c>
      <c r="X618">
        <f t="shared" ca="1" si="329"/>
        <v>0.44661418514591611</v>
      </c>
      <c r="Z618" s="17">
        <f t="shared" ca="1" si="330"/>
        <v>46213</v>
      </c>
      <c r="AG618" s="33">
        <f t="shared" ca="1" si="331"/>
        <v>0.24616323105987692</v>
      </c>
      <c r="AH618">
        <f t="shared" ca="1" si="332"/>
        <v>0.13053339459053129</v>
      </c>
      <c r="AI618">
        <f t="shared" ca="1" si="333"/>
        <v>0.10899649568805052</v>
      </c>
      <c r="AJ618">
        <f t="shared" ca="1" si="334"/>
        <v>9.3037682344743189E-2</v>
      </c>
      <c r="AK618">
        <f t="shared" ca="1" si="335"/>
        <v>7.5124201212164773E-2</v>
      </c>
    </row>
    <row r="619" spans="1:37" ht="17.25" customHeight="1">
      <c r="A619" s="19"/>
      <c r="B619" s="233" t="s">
        <v>476</v>
      </c>
      <c r="C619" s="36" t="s">
        <v>35</v>
      </c>
      <c r="D619" s="36" t="s">
        <v>35</v>
      </c>
      <c r="E619" s="36" t="s">
        <v>119</v>
      </c>
      <c r="F619" s="36" t="s">
        <v>29</v>
      </c>
      <c r="G619" s="28" t="s">
        <v>38</v>
      </c>
      <c r="H619" s="63" t="str">
        <f>HYPERLINK("https://innovativeincomeinvestor.com/security/teekay-lng-partners-l-p-9-00-series-a-cumulative-redeem-perp-preferred-units/","SEAL-A")</f>
        <v>SEAL-A</v>
      </c>
      <c r="I619" s="47">
        <v>0.09</v>
      </c>
      <c r="J619" s="54">
        <f ca="1">IFERROR(__xludf.DUMMYFUNCTION("GoogleFinance(H619)"),25.25)</f>
        <v>25.25</v>
      </c>
      <c r="K619" s="67">
        <f ca="1">IFERROR(__xludf.DUMMYFUNCTION("googlefinance(H619,""change"")"),0.02)</f>
        <v>0.02</v>
      </c>
      <c r="L619" s="27">
        <f t="shared" ca="1" si="352"/>
        <v>8.9108910891089105E-2</v>
      </c>
      <c r="M619" s="27">
        <f t="shared" ca="1" si="353"/>
        <v>-0.33278364191626431</v>
      </c>
      <c r="N619" s="28" t="s">
        <v>31</v>
      </c>
      <c r="O619" s="27" t="s">
        <v>32</v>
      </c>
      <c r="P619" s="27" t="s">
        <v>32</v>
      </c>
      <c r="Q619" s="29">
        <f t="shared" ref="Q619:Q621" si="354">(I619*25)/4</f>
        <v>0.5625</v>
      </c>
      <c r="R619" s="64">
        <v>44474</v>
      </c>
      <c r="S619" s="54" t="s">
        <v>41</v>
      </c>
      <c r="T619" s="62" t="s">
        <v>60</v>
      </c>
      <c r="U619" s="16">
        <f t="shared" ca="1" si="351"/>
        <v>-3.7643835616438355</v>
      </c>
      <c r="V619" s="11" t="str">
        <v>All</v>
      </c>
      <c r="X619">
        <f t="shared" ca="1" si="329"/>
        <v>7.9498247436853603E-2</v>
      </c>
      <c r="Z619" s="17">
        <f t="shared" ca="1" si="330"/>
        <v>46213</v>
      </c>
      <c r="AG619" s="33">
        <f t="shared" ca="1" si="331"/>
        <v>8.4513023720435551E-2</v>
      </c>
      <c r="AH619">
        <f t="shared" ca="1" si="332"/>
        <v>8.7507429821271882E-2</v>
      </c>
      <c r="AI619">
        <f t="shared" ca="1" si="333"/>
        <v>8.8068800639893627E-2</v>
      </c>
      <c r="AJ619">
        <f t="shared" ca="1" si="334"/>
        <v>8.8481514875724671E-2</v>
      </c>
      <c r="AK619">
        <f t="shared" ca="1" si="335"/>
        <v>8.892409300862332E-2</v>
      </c>
    </row>
    <row r="620" spans="1:37" ht="17.25" customHeight="1">
      <c r="A620" s="19"/>
      <c r="B620" s="233" t="s">
        <v>476</v>
      </c>
      <c r="C620" s="36" t="s">
        <v>35</v>
      </c>
      <c r="D620" s="36" t="s">
        <v>35</v>
      </c>
      <c r="E620" s="36" t="s">
        <v>119</v>
      </c>
      <c r="F620" s="28" t="s">
        <v>46</v>
      </c>
      <c r="G620" s="28" t="s">
        <v>38</v>
      </c>
      <c r="H620" s="94" t="str">
        <f>HYPERLINK("https://innovativeincomeinvestor.com/security/teekay-lng-partners-8-50-series-b-fixed-to-floating-cumulative-redeemable-perpetual-preferred-units/","SEAL-B")</f>
        <v>SEAL-B</v>
      </c>
      <c r="I620" s="85">
        <v>8.5000000000000006E-2</v>
      </c>
      <c r="J620" s="54">
        <f ca="1">IFERROR(__xludf.DUMMYFUNCTION("GoogleFinance(H620)"),25.15)</f>
        <v>25.15</v>
      </c>
      <c r="K620" s="48">
        <f ca="1">IFERROR(__xludf.DUMMYFUNCTION("googlefinance(H620,""change"")"),0.1)</f>
        <v>0.1</v>
      </c>
      <c r="L620" s="27">
        <f t="shared" ca="1" si="352"/>
        <v>8.4493041749502992E-2</v>
      </c>
      <c r="M620" s="27">
        <f t="shared" ca="1" si="353"/>
        <v>0.18879227294792478</v>
      </c>
      <c r="N620" s="28" t="s">
        <v>31</v>
      </c>
      <c r="O620" s="27" t="s">
        <v>32</v>
      </c>
      <c r="P620" s="27" t="s">
        <v>32</v>
      </c>
      <c r="Q620" s="29">
        <f t="shared" si="354"/>
        <v>0.53125</v>
      </c>
      <c r="R620" s="64">
        <v>46675</v>
      </c>
      <c r="S620" s="54" t="s">
        <v>41</v>
      </c>
      <c r="T620" s="50" t="s">
        <v>60</v>
      </c>
      <c r="U620" s="16">
        <f t="shared" ca="1" si="351"/>
        <v>2.2657534246575342</v>
      </c>
      <c r="V620" s="11" t="str">
        <v>All</v>
      </c>
      <c r="X620">
        <f t="shared" ca="1" si="329"/>
        <v>7.8701992591892672E-2</v>
      </c>
      <c r="Z620" s="17">
        <f t="shared" ca="1" si="330"/>
        <v>46213</v>
      </c>
      <c r="AG620" s="33">
        <f t="shared" ca="1" si="331"/>
        <v>8.1717698452310861E-2</v>
      </c>
      <c r="AH620">
        <f t="shared" ca="1" si="332"/>
        <v>8.3518492069547215E-2</v>
      </c>
      <c r="AI620">
        <f t="shared" ca="1" si="333"/>
        <v>8.3856534594965948E-2</v>
      </c>
      <c r="AJ620">
        <f t="shared" ca="1" si="334"/>
        <v>8.4105760817327499E-2</v>
      </c>
      <c r="AK620">
        <f t="shared" ca="1" si="335"/>
        <v>8.4374968298820407E-2</v>
      </c>
    </row>
    <row r="621" spans="1:37" ht="17.25" customHeight="1">
      <c r="A621" s="19"/>
      <c r="B621" s="45" t="s">
        <v>477</v>
      </c>
      <c r="C621" s="36" t="s">
        <v>35</v>
      </c>
      <c r="D621" s="36" t="s">
        <v>27</v>
      </c>
      <c r="E621" s="36" t="s">
        <v>106</v>
      </c>
      <c r="F621" s="36" t="s">
        <v>29</v>
      </c>
      <c r="G621" s="28" t="s">
        <v>38</v>
      </c>
      <c r="H621" s="66" t="str">
        <f>HYPERLINK("https://innovativeincomeinvestor.com/security/summit-hotel-properties-6-25-series-e-cumulative-redeemable-preferred-stock/","INN-E")</f>
        <v>INN-E</v>
      </c>
      <c r="I621" s="47">
        <v>6.25E-2</v>
      </c>
      <c r="J621" s="65">
        <f ca="1">IFERROR(__xludf.DUMMYFUNCTION("GoogleFinance(H621)"),18.02)</f>
        <v>18.02</v>
      </c>
      <c r="K621" s="48">
        <f ca="1">IFERROR(__xludf.DUMMYFUNCTION("googlefinance(H621,""change"")"),0.02)</f>
        <v>0.02</v>
      </c>
      <c r="L621" s="27">
        <f t="shared" ca="1" si="352"/>
        <v>8.6709211986681467E-2</v>
      </c>
      <c r="M621" s="27">
        <f ca="1">(25-J621)/25</f>
        <v>0.2792</v>
      </c>
      <c r="N621" s="28" t="s">
        <v>31</v>
      </c>
      <c r="O621" s="27" t="s">
        <v>32</v>
      </c>
      <c r="P621" s="27" t="s">
        <v>32</v>
      </c>
      <c r="Q621" s="29">
        <f t="shared" si="354"/>
        <v>0.390625</v>
      </c>
      <c r="R621" s="64">
        <v>44878</v>
      </c>
      <c r="S621" s="54" t="s">
        <v>41</v>
      </c>
      <c r="T621" s="62" t="s">
        <v>283</v>
      </c>
      <c r="U621" s="16">
        <f t="shared" ca="1" si="351"/>
        <v>-2.6575342465753424</v>
      </c>
      <c r="V621" s="11" t="str">
        <v>All</v>
      </c>
      <c r="X621">
        <f t="shared" ca="1" si="329"/>
        <v>0.41831631955388759</v>
      </c>
      <c r="Z621" s="17">
        <f t="shared" ca="1" si="330"/>
        <v>46213</v>
      </c>
      <c r="AG621" s="33">
        <f t="shared" ca="1" si="331"/>
        <v>0.24285294164234408</v>
      </c>
      <c r="AH621">
        <f t="shared" ca="1" si="332"/>
        <v>0.14134868468126238</v>
      </c>
      <c r="AI621">
        <f t="shared" ca="1" si="333"/>
        <v>0.12250344072998946</v>
      </c>
      <c r="AJ621">
        <f t="shared" ca="1" si="334"/>
        <v>0.10863519313396998</v>
      </c>
      <c r="AK621">
        <f t="shared" ca="1" si="335"/>
        <v>9.3488398084612179E-2</v>
      </c>
    </row>
    <row r="622" spans="1:37" ht="17.25" customHeight="1">
      <c r="A622" s="19"/>
      <c r="B622" s="45" t="s">
        <v>477</v>
      </c>
      <c r="C622" s="28" t="s">
        <v>35</v>
      </c>
      <c r="D622" s="28" t="s">
        <v>27</v>
      </c>
      <c r="E622" s="36" t="s">
        <v>106</v>
      </c>
      <c r="F622" s="28" t="s">
        <v>29</v>
      </c>
      <c r="G622" s="28" t="s">
        <v>38</v>
      </c>
      <c r="H622" s="55" t="str">
        <f>HYPERLINK("https://innovativeincomeinvestor.com/security/summit-hotel-properties-5-875-series-f-cumulative-redeemable-preferred-stock/","INN-F")</f>
        <v>INN-F</v>
      </c>
      <c r="I622" s="47">
        <v>5.8749999999999997E-2</v>
      </c>
      <c r="J622" s="65">
        <f ca="1">IFERROR(__xludf.DUMMYFUNCTION("GoogleFinance(H622)"),17.38)</f>
        <v>17.38</v>
      </c>
      <c r="K622" s="48">
        <f ca="1">IFERROR(__xludf.DUMMYFUNCTION("googlefinance(H622,""change"")"),-0.46)</f>
        <v>-0.46</v>
      </c>
      <c r="L622" s="27">
        <f t="shared" ca="1" si="352"/>
        <v>8.5155350978135785E-2</v>
      </c>
      <c r="M622" s="27">
        <f t="shared" ref="M622:M625" ca="1" si="355">L622*U622+(25-J622)/25/U622</f>
        <v>0.37238196610683982</v>
      </c>
      <c r="N622" s="28" t="s">
        <v>31</v>
      </c>
      <c r="O622" s="27" t="s">
        <v>32</v>
      </c>
      <c r="P622" s="27" t="s">
        <v>32</v>
      </c>
      <c r="Q622" s="29">
        <v>0.37</v>
      </c>
      <c r="R622" s="64">
        <v>46246</v>
      </c>
      <c r="S622" s="54" t="s">
        <v>41</v>
      </c>
      <c r="T622" s="62" t="s">
        <v>478</v>
      </c>
      <c r="U622" s="16">
        <f t="shared" ca="1" si="351"/>
        <v>1.0904109589041096</v>
      </c>
      <c r="V622" s="11" t="str">
        <v>All</v>
      </c>
      <c r="X622">
        <f t="shared" ca="1" si="329"/>
        <v>0.45484957052226127</v>
      </c>
      <c r="Z622" s="17">
        <f t="shared" ca="1" si="330"/>
        <v>46213</v>
      </c>
      <c r="AG622" s="33">
        <f t="shared" ca="1" si="331"/>
        <v>0.25874145040578755</v>
      </c>
      <c r="AH622">
        <f t="shared" ca="1" si="332"/>
        <v>0.1456705376802773</v>
      </c>
      <c r="AI622">
        <f t="shared" ca="1" si="333"/>
        <v>0.1246925115350682</v>
      </c>
      <c r="AJ622">
        <f t="shared" ca="1" si="334"/>
        <v>0.10924189154128394</v>
      </c>
      <c r="AK622">
        <f t="shared" ca="1" si="335"/>
        <v>9.2296581595747287E-2</v>
      </c>
    </row>
    <row r="623" spans="1:37" ht="17.25" customHeight="1">
      <c r="A623" s="19"/>
      <c r="B623" s="45" t="s">
        <v>479</v>
      </c>
      <c r="C623" s="28" t="s">
        <v>35</v>
      </c>
      <c r="D623" s="28" t="s">
        <v>27</v>
      </c>
      <c r="E623" s="36" t="s">
        <v>106</v>
      </c>
      <c r="F623" s="28" t="s">
        <v>29</v>
      </c>
      <c r="G623" s="28" t="s">
        <v>38</v>
      </c>
      <c r="H623" s="55" t="str">
        <f>HYPERLINK("https://innovativeincomeinvestor.com/security/sunstone-hotel-investors-inc-6-125-series-h-cumulative-redeemable-preferred-stock/","SHO-H")</f>
        <v>SHO-H</v>
      </c>
      <c r="I623" s="47">
        <v>6.1249999999999999E-2</v>
      </c>
      <c r="J623" s="65">
        <f ca="1">IFERROR(__xludf.DUMMYFUNCTION("GoogleFinance(H623)"),20.61)</f>
        <v>20.61</v>
      </c>
      <c r="K623" s="67">
        <f ca="1">IFERROR(__xludf.DUMMYFUNCTION("googlefinance(H623,""change"")"),0.12)</f>
        <v>0.12</v>
      </c>
      <c r="L623" s="27">
        <f t="shared" ca="1" si="352"/>
        <v>7.3750606501698207E-2</v>
      </c>
      <c r="M623" s="27">
        <f t="shared" ca="1" si="355"/>
        <v>0.26580741218125042</v>
      </c>
      <c r="N623" s="28" t="s">
        <v>31</v>
      </c>
      <c r="O623" s="27" t="s">
        <v>32</v>
      </c>
      <c r="P623" s="27" t="s">
        <v>32</v>
      </c>
      <c r="Q623" s="29">
        <v>0.38</v>
      </c>
      <c r="R623" s="64">
        <v>46166</v>
      </c>
      <c r="S623" s="54" t="s">
        <v>41</v>
      </c>
      <c r="T623" s="62" t="s">
        <v>60</v>
      </c>
      <c r="U623" s="16">
        <f t="shared" ca="1" si="351"/>
        <v>0.87123287671232874</v>
      </c>
      <c r="V623" s="11" t="str">
        <v>All</v>
      </c>
      <c r="X623">
        <f t="shared" ca="1" si="329"/>
        <v>0.26711193506698661</v>
      </c>
      <c r="Z623" s="17">
        <f t="shared" ca="1" si="330"/>
        <v>46213</v>
      </c>
      <c r="AG623" s="33">
        <f t="shared" ca="1" si="331"/>
        <v>0.16625012014290097</v>
      </c>
      <c r="AH623">
        <f t="shared" ca="1" si="332"/>
        <v>0.10708276185087469</v>
      </c>
      <c r="AI623">
        <f t="shared" ca="1" si="333"/>
        <v>9.6010228512510482E-2</v>
      </c>
      <c r="AJ623">
        <f t="shared" ca="1" si="334"/>
        <v>8.7824471546128158E-2</v>
      </c>
      <c r="AK623">
        <f t="shared" ca="1" si="335"/>
        <v>7.8765109625911364E-2</v>
      </c>
    </row>
    <row r="624" spans="1:37" ht="17.25" customHeight="1">
      <c r="A624" s="19"/>
      <c r="B624" s="45" t="s">
        <v>479</v>
      </c>
      <c r="C624" s="28" t="s">
        <v>35</v>
      </c>
      <c r="D624" s="28" t="s">
        <v>27</v>
      </c>
      <c r="E624" s="36" t="s">
        <v>106</v>
      </c>
      <c r="F624" s="28" t="s">
        <v>29</v>
      </c>
      <c r="G624" s="28" t="s">
        <v>38</v>
      </c>
      <c r="H624" s="55" t="str">
        <f>HYPERLINK("https://innovativeincomeinvestor.com/security/sunstone-hotel-investors-5-70-series-i-cumulative-redeemable-preferred-stock/","SHO-I")</f>
        <v>SHO-I</v>
      </c>
      <c r="I624" s="47">
        <v>5.7000000000000002E-2</v>
      </c>
      <c r="J624" s="65">
        <f ca="1">IFERROR(__xludf.DUMMYFUNCTION("GoogleFinance(H624)"),19.23)</f>
        <v>19.23</v>
      </c>
      <c r="K624" s="67">
        <f ca="1">IFERROR(__xludf.DUMMYFUNCTION("googlefinance(H624,""change"")"),-0.05)</f>
        <v>-0.05</v>
      </c>
      <c r="L624" s="27">
        <f t="shared" ca="1" si="352"/>
        <v>7.4882995319812781E-2</v>
      </c>
      <c r="M624" s="27">
        <f t="shared" ca="1" si="355"/>
        <v>0.30318133411227965</v>
      </c>
      <c r="N624" s="28" t="s">
        <v>31</v>
      </c>
      <c r="O624" s="27" t="s">
        <v>32</v>
      </c>
      <c r="P624" s="27" t="s">
        <v>32</v>
      </c>
      <c r="Q624" s="29">
        <v>0.36</v>
      </c>
      <c r="R624" s="64">
        <v>46219</v>
      </c>
      <c r="S624" s="54" t="s">
        <v>41</v>
      </c>
      <c r="T624" s="62" t="s">
        <v>60</v>
      </c>
      <c r="U624" s="16">
        <f t="shared" ca="1" si="351"/>
        <v>1.0164383561643835</v>
      </c>
      <c r="V624" s="11" t="str">
        <v>All</v>
      </c>
      <c r="X624">
        <f t="shared" ca="1" si="329"/>
        <v>0.33862815984696454</v>
      </c>
      <c r="Z624" s="17">
        <f t="shared" ca="1" si="330"/>
        <v>46213</v>
      </c>
      <c r="AG624" s="33">
        <f t="shared" ca="1" si="331"/>
        <v>0.19981204815998121</v>
      </c>
      <c r="AH624">
        <f t="shared" ca="1" si="332"/>
        <v>0.11892400954285999</v>
      </c>
      <c r="AI624">
        <f t="shared" ca="1" si="333"/>
        <v>0.10382402498552246</v>
      </c>
      <c r="AJ624">
        <f t="shared" ca="1" si="334"/>
        <v>9.2661130859729546E-2</v>
      </c>
      <c r="AK624">
        <f t="shared" ca="1" si="335"/>
        <v>8.0283170252321109E-2</v>
      </c>
    </row>
    <row r="625" spans="1:37" ht="17.25" customHeight="1">
      <c r="A625" s="19"/>
      <c r="B625" s="45" t="s">
        <v>480</v>
      </c>
      <c r="C625" s="28" t="s">
        <v>27</v>
      </c>
      <c r="D625" s="28" t="s">
        <v>27</v>
      </c>
      <c r="E625" s="28" t="s">
        <v>171</v>
      </c>
      <c r="F625" s="28" t="s">
        <v>29</v>
      </c>
      <c r="G625" s="28" t="s">
        <v>30</v>
      </c>
      <c r="H625" s="23" t="str">
        <f>HYPERLINK("https://innovativeincomeinvestor.com/security/suro-capital-corporation-6-00-notes-due-2026/","SSSSL")</f>
        <v>SSSSL</v>
      </c>
      <c r="I625" s="47">
        <v>0.06</v>
      </c>
      <c r="J625" s="65">
        <f ca="1">IFERROR(__xludf.DUMMYFUNCTION("GoogleFinance(H625)"),24.6)</f>
        <v>24.6</v>
      </c>
      <c r="K625" s="67">
        <f ca="1">IFERROR(__xludf.DUMMYFUNCTION("googlefinance(H625,""change"")"),-0.01)</f>
        <v>-0.01</v>
      </c>
      <c r="L625" s="27">
        <f t="shared" ca="1" si="352"/>
        <v>6.1788617886178857E-2</v>
      </c>
      <c r="M625" s="27">
        <f t="shared" ca="1" si="355"/>
        <v>-6.2919172513642846E-2</v>
      </c>
      <c r="N625" s="28" t="s">
        <v>31</v>
      </c>
      <c r="O625" s="27" t="s">
        <v>32</v>
      </c>
      <c r="P625" s="27" t="s">
        <v>32</v>
      </c>
      <c r="Q625" s="29">
        <v>0.38</v>
      </c>
      <c r="R625" s="64">
        <v>45656</v>
      </c>
      <c r="S625" s="61">
        <v>46386</v>
      </c>
      <c r="T625" s="62" t="s">
        <v>481</v>
      </c>
      <c r="U625" s="16">
        <f t="shared" ca="1" si="351"/>
        <v>-0.52602739726027392</v>
      </c>
      <c r="V625" s="11" t="str">
        <v>All</v>
      </c>
      <c r="X625">
        <f t="shared" ca="1" si="329"/>
        <v>7.6775047923955064E-2</v>
      </c>
      <c r="Z625" s="17">
        <f t="shared" ca="1" si="330"/>
        <v>46213</v>
      </c>
      <c r="AG625" s="33">
        <f t="shared" ca="1" si="331"/>
        <v>6.8629924534596362E-2</v>
      </c>
      <c r="AH625">
        <f t="shared" ca="1" si="332"/>
        <v>6.3763868510499241E-2</v>
      </c>
      <c r="AI625">
        <f t="shared" ca="1" si="333"/>
        <v>6.2844185847455589E-2</v>
      </c>
      <c r="AJ625">
        <f t="shared" ca="1" si="334"/>
        <v>6.2161020587452584E-2</v>
      </c>
      <c r="AK625">
        <f t="shared" ca="1" si="335"/>
        <v>6.1394621703941249E-2</v>
      </c>
    </row>
    <row r="626" spans="1:37" ht="17.25" customHeight="1">
      <c r="A626" s="19"/>
      <c r="B626" s="45" t="s">
        <v>482</v>
      </c>
      <c r="C626" s="28" t="s">
        <v>27</v>
      </c>
      <c r="D626" s="28" t="s">
        <v>27</v>
      </c>
      <c r="E626" s="28" t="s">
        <v>117</v>
      </c>
      <c r="F626" s="28" t="s">
        <v>29</v>
      </c>
      <c r="G626" s="28" t="s">
        <v>30</v>
      </c>
      <c r="H626" s="23" t="str">
        <f>HYPERLINK("https://innovativeincomeinvestor.com/security/swk-holdings-corporation-9-00-senior-notes-due-2027/","SWKHL")</f>
        <v>SWKHL</v>
      </c>
      <c r="I626" s="47">
        <v>0.09</v>
      </c>
      <c r="J626" s="65">
        <f ca="1">IFERROR(__xludf.DUMMYFUNCTION("GoogleFinance(H626)"),25.5)</f>
        <v>25.5</v>
      </c>
      <c r="K626" s="67">
        <f ca="1">IFERROR(__xludf.DUMMYFUNCTION("googlefinance(H626,""change"")"),0.11)</f>
        <v>0.11</v>
      </c>
      <c r="L626" s="27">
        <f t="shared" ca="1" si="352"/>
        <v>8.8235294117647065E-2</v>
      </c>
      <c r="M626" s="28" t="s">
        <v>49</v>
      </c>
      <c r="N626" s="28" t="s">
        <v>31</v>
      </c>
      <c r="O626" s="27" t="s">
        <v>32</v>
      </c>
      <c r="P626" s="27" t="s">
        <v>32</v>
      </c>
      <c r="Q626" s="29">
        <v>0.5625</v>
      </c>
      <c r="R626" s="28" t="s">
        <v>338</v>
      </c>
      <c r="S626" s="61">
        <v>46418</v>
      </c>
      <c r="T626" s="62" t="s">
        <v>42</v>
      </c>
      <c r="U626" s="16"/>
      <c r="V626" s="11" t="str">
        <v>All</v>
      </c>
      <c r="X626">
        <f t="shared" ca="1" si="329"/>
        <v>6.9128491465314856E-2</v>
      </c>
      <c r="Z626" s="17">
        <f t="shared" ca="1" si="330"/>
        <v>46213</v>
      </c>
      <c r="AG626" s="33">
        <f t="shared" ca="1" si="331"/>
        <v>7.9089922163516443E-2</v>
      </c>
      <c r="AH626">
        <f t="shared" ca="1" si="332"/>
        <v>8.5044857047177583E-2</v>
      </c>
      <c r="AI626">
        <f t="shared" ca="1" si="333"/>
        <v>8.616216127231198E-2</v>
      </c>
      <c r="AJ626">
        <f t="shared" ca="1" si="334"/>
        <v>8.6983413354995404E-2</v>
      </c>
      <c r="AK626">
        <f t="shared" ca="1" si="335"/>
        <v>8.7865885863682588E-2</v>
      </c>
    </row>
    <row r="627" spans="1:37" ht="17.25" customHeight="1">
      <c r="A627" s="19"/>
      <c r="B627" s="45" t="s">
        <v>483</v>
      </c>
      <c r="C627" s="28" t="s">
        <v>27</v>
      </c>
      <c r="D627" s="28" t="s">
        <v>27</v>
      </c>
      <c r="E627" s="28" t="s">
        <v>67</v>
      </c>
      <c r="F627" s="28" t="s">
        <v>29</v>
      </c>
      <c r="G627" s="28" t="s">
        <v>30</v>
      </c>
      <c r="H627" s="55" t="str">
        <f>HYPERLINK("https://innovativeincomeinvestor.com/security/synchronoss-technolgies-inc-8-375-senior-notes-due-2026/","SNCRL")</f>
        <v>SNCRL</v>
      </c>
      <c r="I627" s="47">
        <v>8.3750000000000005E-2</v>
      </c>
      <c r="J627" s="86" t="s">
        <v>68</v>
      </c>
      <c r="K627" s="169" t="s">
        <v>68</v>
      </c>
      <c r="L627" s="88" t="s">
        <v>68</v>
      </c>
      <c r="M627" s="27" t="e">
        <f t="shared" ref="M627:M628" si="356">(25-J627)/25</f>
        <v>#VALUE!</v>
      </c>
      <c r="N627" s="28" t="s">
        <v>31</v>
      </c>
      <c r="O627" s="27" t="s">
        <v>32</v>
      </c>
      <c r="P627" s="27" t="s">
        <v>32</v>
      </c>
      <c r="Q627" s="29">
        <v>0.52</v>
      </c>
      <c r="R627" s="64">
        <v>44742</v>
      </c>
      <c r="S627" s="61">
        <v>46203</v>
      </c>
      <c r="T627" s="62" t="s">
        <v>79</v>
      </c>
      <c r="U627" s="16">
        <f t="shared" ref="U627:U634" ca="1" si="357">(R627-TODAY())/365</f>
        <v>-3.0301369863013701</v>
      </c>
      <c r="V627" s="11" t="str">
        <v>All</v>
      </c>
      <c r="X627" t="e">
        <f t="shared" ca="1" si="329"/>
        <v>#VALUE!</v>
      </c>
      <c r="Z627" s="17">
        <f t="shared" ca="1" si="330"/>
        <v>46213</v>
      </c>
      <c r="AG627" s="33" t="e">
        <f t="shared" ca="1" si="331"/>
        <v>#VALUE!</v>
      </c>
      <c r="AH627" t="e">
        <f t="shared" ca="1" si="332"/>
        <v>#VALUE!</v>
      </c>
      <c r="AI627" t="e">
        <f t="shared" ca="1" si="333"/>
        <v>#VALUE!</v>
      </c>
      <c r="AJ627" t="e">
        <f t="shared" ca="1" si="334"/>
        <v>#VALUE!</v>
      </c>
      <c r="AK627" t="e">
        <f t="shared" ca="1" si="335"/>
        <v>#VALUE!</v>
      </c>
    </row>
    <row r="628" spans="1:37" ht="17.25" customHeight="1">
      <c r="A628" s="19"/>
      <c r="B628" s="45" t="s">
        <v>484</v>
      </c>
      <c r="C628" s="28" t="s">
        <v>27</v>
      </c>
      <c r="D628" s="28" t="s">
        <v>35</v>
      </c>
      <c r="E628" s="28" t="s">
        <v>117</v>
      </c>
      <c r="F628" s="28" t="s">
        <v>29</v>
      </c>
      <c r="G628" s="28" t="s">
        <v>38</v>
      </c>
      <c r="H628" s="83" t="str">
        <f>HYPERLINK("https://innovativeincomeinvestor.com/security/synchrony-financial-5-625-fixed-rate-non-cumulatve-perpetual-preferred-stock-series-a/","SYF-A")</f>
        <v>SYF-A</v>
      </c>
      <c r="I628" s="47">
        <v>5.6250000000000001E-2</v>
      </c>
      <c r="J628" s="65">
        <f ca="1">IFERROR(__xludf.DUMMYFUNCTION("GoogleFinance(H628)"),19.33)</f>
        <v>19.329999999999998</v>
      </c>
      <c r="K628" s="67">
        <f ca="1">IFERROR(__xludf.DUMMYFUNCTION("googlefinance(H628,""change"")"),-0.04)</f>
        <v>-0.04</v>
      </c>
      <c r="L628" s="27">
        <f t="shared" ref="L628:L629" ca="1" si="358">(Q628*4)/J628</f>
        <v>7.2749612002069322E-2</v>
      </c>
      <c r="M628" s="27">
        <f t="shared" ca="1" si="356"/>
        <v>0.22680000000000006</v>
      </c>
      <c r="N628" s="28" t="s">
        <v>31</v>
      </c>
      <c r="O628" s="28" t="s">
        <v>223</v>
      </c>
      <c r="P628" s="28" t="s">
        <v>32</v>
      </c>
      <c r="Q628" s="29">
        <f>(I628*25)/4</f>
        <v>0.3515625</v>
      </c>
      <c r="R628" s="64">
        <v>45611</v>
      </c>
      <c r="S628" s="54" t="s">
        <v>41</v>
      </c>
      <c r="T628" s="62" t="s">
        <v>33</v>
      </c>
      <c r="U628" s="16">
        <f t="shared" ca="1" si="357"/>
        <v>-0.64931506849315068</v>
      </c>
      <c r="V628" s="11" t="str">
        <v>All</v>
      </c>
      <c r="X628">
        <f t="shared" ca="1" si="329"/>
        <v>0.33198091632370968</v>
      </c>
      <c r="Z628" s="17">
        <f t="shared" ca="1" si="330"/>
        <v>46213</v>
      </c>
      <c r="AG628" s="33">
        <f t="shared" ca="1" si="331"/>
        <v>0.19605448397546843</v>
      </c>
      <c r="AH628">
        <f t="shared" ca="1" si="332"/>
        <v>0.11680262845082429</v>
      </c>
      <c r="AI628">
        <f t="shared" ca="1" si="333"/>
        <v>0.10200054346449457</v>
      </c>
      <c r="AJ628">
        <f t="shared" ca="1" si="334"/>
        <v>9.1052768895105912E-2</v>
      </c>
      <c r="AK628">
        <f t="shared" ca="1" si="335"/>
        <v>7.8894131087867858E-2</v>
      </c>
    </row>
    <row r="629" spans="1:37" ht="17.25" customHeight="1">
      <c r="A629" s="19"/>
      <c r="B629" s="45" t="s">
        <v>484</v>
      </c>
      <c r="C629" s="28" t="s">
        <v>27</v>
      </c>
      <c r="D629" s="28" t="s">
        <v>35</v>
      </c>
      <c r="E629" s="28" t="s">
        <v>117</v>
      </c>
      <c r="F629" s="28" t="s">
        <v>61</v>
      </c>
      <c r="G629" s="28" t="s">
        <v>38</v>
      </c>
      <c r="H629" s="83" t="str">
        <f>HYPERLINK("https://innovativeincomeinvestor.com/security/synchrony-financial-8-25-fixed-rate-reset-non-cumulative-perpetual-preferred-stock-series-b/","SYF-B")</f>
        <v>SYF-B</v>
      </c>
      <c r="I629" s="47">
        <v>8.2500000000000004E-2</v>
      </c>
      <c r="J629" s="65">
        <f ca="1">IFERROR(__xludf.DUMMYFUNCTION("GoogleFinance(H629)"),25.44)</f>
        <v>25.44</v>
      </c>
      <c r="K629" s="67">
        <f ca="1">IFERROR(__xludf.DUMMYFUNCTION("googlefinance(H629,""change"")"),0.03)</f>
        <v>0.03</v>
      </c>
      <c r="L629" s="27">
        <f t="shared" ca="1" si="358"/>
        <v>8.1761006289308172E-2</v>
      </c>
      <c r="M629" s="27">
        <f t="array" aca="1" ref="M629" ca="1">L629*U629+(25-J629)/25/U629</f>
        <v>0.3101516315317146</v>
      </c>
      <c r="N629" s="28" t="s">
        <v>31</v>
      </c>
      <c r="O629" s="28" t="s">
        <v>223</v>
      </c>
      <c r="P629" s="28" t="s">
        <v>32</v>
      </c>
      <c r="Q629" s="29">
        <v>0.52</v>
      </c>
      <c r="R629" s="64">
        <v>47253</v>
      </c>
      <c r="S629" s="54" t="s">
        <v>41</v>
      </c>
      <c r="T629" s="62" t="s">
        <v>33</v>
      </c>
      <c r="U629" s="16">
        <f t="shared" ca="1" si="357"/>
        <v>3.8493150684931505</v>
      </c>
      <c r="V629" s="11" t="str">
        <v>All</v>
      </c>
      <c r="X629">
        <f t="shared" ca="1" si="329"/>
        <v>6.4188308790114487E-2</v>
      </c>
      <c r="Z629" s="17">
        <f t="shared" ca="1" si="330"/>
        <v>46213</v>
      </c>
      <c r="AG629" s="33">
        <f t="shared" ca="1" si="331"/>
        <v>7.2962444046951083E-2</v>
      </c>
      <c r="AH629">
        <f t="shared" ca="1" si="332"/>
        <v>7.8210646741035603E-2</v>
      </c>
      <c r="AI629">
        <f t="shared" ca="1" si="333"/>
        <v>7.9197728280088989E-2</v>
      </c>
      <c r="AJ629">
        <f t="shared" ca="1" si="334"/>
        <v>7.9925729001665197E-2</v>
      </c>
      <c r="AK629">
        <f t="shared" ca="1" si="335"/>
        <v>8.0717624648525069E-2</v>
      </c>
    </row>
    <row r="630" spans="1:37" ht="17.25" customHeight="1">
      <c r="A630" s="19"/>
      <c r="B630" s="234" t="s">
        <v>485</v>
      </c>
      <c r="C630" s="28" t="s">
        <v>27</v>
      </c>
      <c r="D630" s="28" t="s">
        <v>35</v>
      </c>
      <c r="E630" s="28" t="s">
        <v>110</v>
      </c>
      <c r="F630" s="28" t="s">
        <v>46</v>
      </c>
      <c r="G630" s="28" t="s">
        <v>38</v>
      </c>
      <c r="H630" s="51" t="str">
        <f>HYPERLINK("https://innovativeincomeinvestor.com/security/synovus-financial-corp-6-30-fixed-to-floating-rate-non-cumulative-perpetual-preferred-stock-series-d/","SNV-D")</f>
        <v>SNV-D</v>
      </c>
      <c r="I630" s="47">
        <v>6.3E-2</v>
      </c>
      <c r="J630" s="65">
        <f ca="1">IFERROR(__xludf.DUMMYFUNCTION("GoogleFinance(H630)"),25.28)</f>
        <v>25.28</v>
      </c>
      <c r="K630" s="48">
        <f ca="1">IFERROR(__xludf.DUMMYFUNCTION("googlefinance(H630,""change"")"),-0.01)</f>
        <v>-0.01</v>
      </c>
      <c r="L630" s="52" t="s">
        <v>47</v>
      </c>
      <c r="M630" s="52" t="s">
        <v>47</v>
      </c>
      <c r="N630" s="28" t="s">
        <v>31</v>
      </c>
      <c r="O630" s="28" t="s">
        <v>223</v>
      </c>
      <c r="P630" s="27" t="s">
        <v>32</v>
      </c>
      <c r="Q630" s="52" t="s">
        <v>47</v>
      </c>
      <c r="R630" s="64">
        <v>45098</v>
      </c>
      <c r="S630" s="54" t="s">
        <v>41</v>
      </c>
      <c r="T630" s="62" t="s">
        <v>486</v>
      </c>
      <c r="U630" s="16">
        <f t="shared" ca="1" si="357"/>
        <v>-2.0547945205479454</v>
      </c>
      <c r="V630" s="11" t="str">
        <v>All</v>
      </c>
      <c r="X630">
        <f t="shared" ca="1" si="329"/>
        <v>5.1437636309634556E-2</v>
      </c>
      <c r="Z630" s="17">
        <f t="shared" ca="1" si="330"/>
        <v>46213</v>
      </c>
      <c r="AG630" s="33">
        <f t="shared" ca="1" si="331"/>
        <v>5.7034747275744556E-2</v>
      </c>
      <c r="AH630">
        <f t="shared" ca="1" si="332"/>
        <v>6.0386557566271183E-2</v>
      </c>
      <c r="AI630">
        <f t="shared" ca="1" si="333"/>
        <v>6.1020323646414347E-2</v>
      </c>
      <c r="AJ630">
        <f t="shared" ca="1" si="334"/>
        <v>6.1491295863335141E-2</v>
      </c>
      <c r="AK630">
        <f t="shared" ca="1" si="335"/>
        <v>6.201795830071527E-2</v>
      </c>
    </row>
    <row r="631" spans="1:37" ht="17.25" customHeight="1">
      <c r="A631" s="19"/>
      <c r="B631" s="234" t="s">
        <v>485</v>
      </c>
      <c r="C631" s="28" t="s">
        <v>27</v>
      </c>
      <c r="D631" s="28" t="s">
        <v>35</v>
      </c>
      <c r="E631" s="28" t="s">
        <v>110</v>
      </c>
      <c r="F631" s="28" t="s">
        <v>61</v>
      </c>
      <c r="G631" s="28" t="s">
        <v>38</v>
      </c>
      <c r="H631" s="66" t="str">
        <f>HYPERLINK("https://innovativeincomeinvestor.com/security/synovus-financial-corp-fixed-rate-reet-non-cumulative-perpetual-preferred-stock-series-e/","SNV-E")</f>
        <v>SNV-E</v>
      </c>
      <c r="I631" s="47">
        <v>5.8749999999999997E-2</v>
      </c>
      <c r="J631" s="65">
        <f ca="1">IFERROR(__xludf.DUMMYFUNCTION("GoogleFinance(H631)"),25.94)</f>
        <v>25.94</v>
      </c>
      <c r="K631" s="48">
        <f ca="1">IFERROR(__xludf.DUMMYFUNCTION("googlefinance(H631,""change"")"),-0.03)</f>
        <v>-0.03</v>
      </c>
      <c r="L631" s="52" t="s">
        <v>47</v>
      </c>
      <c r="M631" s="27" t="e">
        <f t="shared" ref="M631:M633" ca="1" si="359">L631*U631+(25-J631)/25/U631</f>
        <v>#VALUE!</v>
      </c>
      <c r="N631" s="28" t="s">
        <v>31</v>
      </c>
      <c r="O631" s="28" t="s">
        <v>223</v>
      </c>
      <c r="P631" s="27" t="s">
        <v>32</v>
      </c>
      <c r="Q631" s="52" t="s">
        <v>47</v>
      </c>
      <c r="R631" s="64">
        <v>45474</v>
      </c>
      <c r="S631" s="54" t="s">
        <v>41</v>
      </c>
      <c r="T631" s="62" t="s">
        <v>74</v>
      </c>
      <c r="U631" s="16">
        <f t="shared" ca="1" si="357"/>
        <v>-1.0246575342465754</v>
      </c>
      <c r="V631" s="11" t="str">
        <v>All</v>
      </c>
      <c r="X631">
        <f t="shared" ca="1" si="329"/>
        <v>2.0663164654692312E-2</v>
      </c>
      <c r="Z631" s="17">
        <f t="shared" ca="1" si="330"/>
        <v>46213</v>
      </c>
      <c r="AG631" s="33">
        <f t="shared" ca="1" si="331"/>
        <v>3.9113361907312585E-2</v>
      </c>
      <c r="AH631">
        <f t="shared" ca="1" si="332"/>
        <v>5.0195635680940168E-2</v>
      </c>
      <c r="AI631">
        <f t="shared" ca="1" si="333"/>
        <v>5.2296295780224218E-2</v>
      </c>
      <c r="AJ631">
        <f t="shared" ca="1" si="334"/>
        <v>5.3859982492299299E-2</v>
      </c>
      <c r="AK631">
        <f t="shared" ca="1" si="335"/>
        <v>5.5620924812010593E-2</v>
      </c>
    </row>
    <row r="632" spans="1:37" ht="17.25" customHeight="1">
      <c r="A632" s="68"/>
      <c r="B632" s="235" t="s">
        <v>487</v>
      </c>
      <c r="C632" s="28" t="s">
        <v>35</v>
      </c>
      <c r="D632" s="28" t="s">
        <v>35</v>
      </c>
      <c r="E632" s="28" t="s">
        <v>113</v>
      </c>
      <c r="F632" s="28" t="s">
        <v>29</v>
      </c>
      <c r="G632" s="28" t="s">
        <v>38</v>
      </c>
      <c r="H632" s="46" t="str">
        <f>HYPERLINK("https://innovativeincomeinvestor.com/security/telephone-and-data-systems-6-625-series-uu-cumulative-redeemable-perpetual-preferred-stock/","TDS-U")</f>
        <v>TDS-U</v>
      </c>
      <c r="I632" s="47">
        <v>6.6250000000000003E-2</v>
      </c>
      <c r="J632" s="26">
        <f ca="1">IFERROR(__xludf.DUMMYFUNCTION("GOOGLEFINANCE(H632)"),19.81)</f>
        <v>19.809999999999999</v>
      </c>
      <c r="K632" s="26">
        <f ca="1">IFERROR(__xludf.DUMMYFUNCTION("GOOGLEFINANCE(H632,""change"")"),-0.24)</f>
        <v>-0.24</v>
      </c>
      <c r="L632" s="27">
        <f t="shared" ref="L632:L633" ca="1" si="360">(Q632*4)/J632</f>
        <v>8.278647147905098E-2</v>
      </c>
      <c r="M632" s="27">
        <f t="shared" ca="1" si="359"/>
        <v>0.34690116143839711</v>
      </c>
      <c r="N632" s="28" t="s">
        <v>31</v>
      </c>
      <c r="O632" s="28" t="s">
        <v>163</v>
      </c>
      <c r="P632" s="28" t="s">
        <v>367</v>
      </c>
      <c r="Q632" s="65">
        <v>0.41</v>
      </c>
      <c r="R632" s="64">
        <v>46112</v>
      </c>
      <c r="S632" s="28" t="s">
        <v>41</v>
      </c>
      <c r="T632" s="62" t="s">
        <v>42</v>
      </c>
      <c r="U632" s="16">
        <f t="shared" ca="1" si="357"/>
        <v>0.72328767123287674</v>
      </c>
      <c r="V632" s="11" t="str">
        <v>All</v>
      </c>
      <c r="X632">
        <f t="shared" ca="1" si="329"/>
        <v>0.31647316439260703</v>
      </c>
      <c r="Z632" s="17">
        <f t="shared" ca="1" si="330"/>
        <v>46213</v>
      </c>
      <c r="AG632" s="33">
        <f t="shared" ca="1" si="331"/>
        <v>0.19394608152732831</v>
      </c>
      <c r="AH632">
        <f t="shared" ca="1" si="332"/>
        <v>0.12239770992493582</v>
      </c>
      <c r="AI632">
        <f t="shared" ca="1" si="333"/>
        <v>0.10905962446591269</v>
      </c>
      <c r="AJ632">
        <f t="shared" ca="1" si="334"/>
        <v>9.9233424907489098E-2</v>
      </c>
      <c r="AK632">
        <f t="shared" ca="1" si="335"/>
        <v>8.8485900511512464E-2</v>
      </c>
    </row>
    <row r="633" spans="1:37" ht="17.25" customHeight="1">
      <c r="A633" s="68"/>
      <c r="B633" s="69" t="s">
        <v>487</v>
      </c>
      <c r="C633" s="28" t="s">
        <v>35</v>
      </c>
      <c r="D633" s="28" t="s">
        <v>35</v>
      </c>
      <c r="E633" s="28" t="s">
        <v>113</v>
      </c>
      <c r="F633" s="28" t="s">
        <v>29</v>
      </c>
      <c r="G633" s="28" t="s">
        <v>38</v>
      </c>
      <c r="H633" s="55" t="str">
        <f>HYPERLINK("https://innovativeincomeinvestor.com/security/telephone-and-data-sytems-inc/","TDS-V")</f>
        <v>TDS-V</v>
      </c>
      <c r="I633" s="47">
        <v>0.06</v>
      </c>
      <c r="J633" s="26">
        <f ca="1">IFERROR(__xludf.DUMMYFUNCTION("GOOGLEFINANCE(H633)"),18.15)</f>
        <v>18.149999999999999</v>
      </c>
      <c r="K633" s="26">
        <f ca="1">IFERROR(__xludf.DUMMYFUNCTION("GOOGLEFINANCE(H633,""change"")"),-0.29)</f>
        <v>-0.28999999999999998</v>
      </c>
      <c r="L633" s="27">
        <f t="shared" ca="1" si="360"/>
        <v>8.2644628099173556E-2</v>
      </c>
      <c r="M633" s="27">
        <f t="shared" ca="1" si="359"/>
        <v>0.32494738436375092</v>
      </c>
      <c r="N633" s="28" t="s">
        <v>31</v>
      </c>
      <c r="O633" s="28" t="s">
        <v>163</v>
      </c>
      <c r="P633" s="28" t="s">
        <v>367</v>
      </c>
      <c r="Q633" s="29">
        <f>(I633*25)/4</f>
        <v>0.375</v>
      </c>
      <c r="R633" s="64">
        <v>46295</v>
      </c>
      <c r="S633" s="28" t="s">
        <v>41</v>
      </c>
      <c r="T633" s="62" t="s">
        <v>42</v>
      </c>
      <c r="U633" s="16">
        <f t="shared" ca="1" si="357"/>
        <v>1.2246575342465753</v>
      </c>
      <c r="V633" s="11" t="str">
        <v>All</v>
      </c>
      <c r="X633">
        <f t="shared" ca="1" si="329"/>
        <v>0.40708207518389056</v>
      </c>
      <c r="Z633" s="17">
        <f t="shared" ca="1" si="330"/>
        <v>46213</v>
      </c>
      <c r="AG633" s="33">
        <f t="shared" ca="1" si="331"/>
        <v>0.2357547724315911</v>
      </c>
      <c r="AH633">
        <f t="shared" ca="1" si="332"/>
        <v>0.13654299503323644</v>
      </c>
      <c r="AI633">
        <f t="shared" ca="1" si="333"/>
        <v>0.11809945160096069</v>
      </c>
      <c r="AJ633">
        <f t="shared" ca="1" si="334"/>
        <v>0.10450637167183643</v>
      </c>
      <c r="AK633">
        <f t="shared" ca="1" si="335"/>
        <v>8.9579321172105014E-2</v>
      </c>
    </row>
    <row r="634" spans="1:37" ht="17.25" customHeight="1">
      <c r="A634" s="68"/>
      <c r="B634" s="69" t="s">
        <v>488</v>
      </c>
      <c r="C634" s="28" t="s">
        <v>27</v>
      </c>
      <c r="D634" s="28" t="s">
        <v>27</v>
      </c>
      <c r="E634" s="28" t="s">
        <v>241</v>
      </c>
      <c r="F634" s="28" t="s">
        <v>29</v>
      </c>
      <c r="G634" s="28" t="s">
        <v>30</v>
      </c>
      <c r="H634" s="83" t="str">
        <f>HYPERLINK("https://innovativeincomeinvestor.com/security/tellurian-inc-8-25-senior-notes-due-2028/","TELZ")</f>
        <v>TELZ</v>
      </c>
      <c r="I634" s="47">
        <v>8.2500000000000004E-2</v>
      </c>
      <c r="J634" s="86" t="s">
        <v>68</v>
      </c>
      <c r="K634" s="169" t="s">
        <v>68</v>
      </c>
      <c r="L634" s="88" t="s">
        <v>68</v>
      </c>
      <c r="M634" s="88" t="s">
        <v>68</v>
      </c>
      <c r="N634" s="28" t="s">
        <v>31</v>
      </c>
      <c r="O634" s="28" t="s">
        <v>32</v>
      </c>
      <c r="P634" s="28" t="s">
        <v>32</v>
      </c>
      <c r="Q634" s="29">
        <v>0.52</v>
      </c>
      <c r="R634" s="64">
        <v>45260</v>
      </c>
      <c r="S634" s="82">
        <v>47087</v>
      </c>
      <c r="T634" s="62" t="s">
        <v>79</v>
      </c>
      <c r="U634" s="16">
        <f t="shared" ca="1" si="357"/>
        <v>-1.6109589041095891</v>
      </c>
      <c r="V634" s="11" t="str">
        <v>All</v>
      </c>
      <c r="X634" t="e">
        <f t="shared" ca="1" si="329"/>
        <v>#VALUE!</v>
      </c>
      <c r="Z634" s="17">
        <f t="shared" ca="1" si="330"/>
        <v>46213</v>
      </c>
      <c r="AG634" s="33" t="e">
        <f t="shared" ca="1" si="331"/>
        <v>#VALUE!</v>
      </c>
      <c r="AH634" t="e">
        <f t="shared" ca="1" si="332"/>
        <v>#VALUE!</v>
      </c>
      <c r="AI634" t="e">
        <f t="shared" ca="1" si="333"/>
        <v>#VALUE!</v>
      </c>
      <c r="AJ634" t="e">
        <f t="shared" ca="1" si="334"/>
        <v>#VALUE!</v>
      </c>
      <c r="AK634" t="e">
        <f t="shared" ca="1" si="335"/>
        <v>#VALUE!</v>
      </c>
    </row>
    <row r="635" spans="1:37" ht="17.25" customHeight="1">
      <c r="A635" s="68"/>
      <c r="B635" s="69" t="s">
        <v>489</v>
      </c>
      <c r="C635" s="28" t="s">
        <v>27</v>
      </c>
      <c r="D635" s="28" t="s">
        <v>27</v>
      </c>
      <c r="E635" s="28" t="s">
        <v>73</v>
      </c>
      <c r="F635" s="28" t="s">
        <v>490</v>
      </c>
      <c r="G635" s="28" t="s">
        <v>30</v>
      </c>
      <c r="H635" s="51" t="str">
        <f>HYPERLINK("https://innovativeincomeinvestor.com/security/tennessee-valley-authority-3-36/","TVE")</f>
        <v>TVE</v>
      </c>
      <c r="I635" s="47">
        <v>2.2159999999999999E-2</v>
      </c>
      <c r="J635" s="128">
        <f ca="1">IFERROR(__xludf.DUMMYFUNCTION("GOOGLEFINANCE(H635)"),23.39)</f>
        <v>23.39</v>
      </c>
      <c r="K635" s="128">
        <f ca="1">IFERROR(__xludf.DUMMYFUNCTION("GOOGLEFINANCE(H635,""change"")"),0)</f>
        <v>0</v>
      </c>
      <c r="L635" s="108">
        <f t="shared" ref="L635:L639" ca="1" si="361">(Q635*4)/J635</f>
        <v>2.3736639589568193E-2</v>
      </c>
      <c r="M635" s="108">
        <f t="shared" ref="M635:M636" ca="1" si="362">L635*U635+(25-J635)/25/U635</f>
        <v>0.10735799207370926</v>
      </c>
      <c r="N635" s="28" t="s">
        <v>39</v>
      </c>
      <c r="O635" s="28" t="s">
        <v>491</v>
      </c>
      <c r="P635" s="28" t="s">
        <v>492</v>
      </c>
      <c r="Q635" s="65">
        <v>0.13880000000000001</v>
      </c>
      <c r="R635" s="64" t="s">
        <v>86</v>
      </c>
      <c r="S635" s="64">
        <v>47239</v>
      </c>
      <c r="T635" s="62" t="s">
        <v>101</v>
      </c>
      <c r="U635" s="16">
        <f t="shared" ref="U635:U636" ca="1" si="363">(S635-TODAY())/365</f>
        <v>3.8109589041095893</v>
      </c>
      <c r="V635" s="11" t="str">
        <v>All</v>
      </c>
      <c r="X635">
        <f t="shared" ca="1" si="329"/>
        <v>9.0232355210273271E-2</v>
      </c>
      <c r="Z635" s="17">
        <f t="shared" ca="1" si="330"/>
        <v>46213</v>
      </c>
      <c r="AG635" s="33">
        <f t="shared" ca="1" si="331"/>
        <v>5.6437873641377111E-2</v>
      </c>
      <c r="AH635">
        <f t="shared" ca="1" si="332"/>
        <v>3.6309858852381291E-2</v>
      </c>
      <c r="AI635">
        <f t="shared" ca="1" si="333"/>
        <v>3.2490187017466893E-2</v>
      </c>
      <c r="AJ635">
        <f t="shared" ca="1" si="334"/>
        <v>2.9628234843250157E-2</v>
      </c>
      <c r="AK635">
        <f t="shared" ca="1" si="335"/>
        <v>2.6313753630550597E-2</v>
      </c>
    </row>
    <row r="636" spans="1:37" ht="17.25" customHeight="1">
      <c r="A636" s="68"/>
      <c r="B636" s="69" t="s">
        <v>489</v>
      </c>
      <c r="C636" s="28" t="s">
        <v>27</v>
      </c>
      <c r="D636" s="28" t="s">
        <v>27</v>
      </c>
      <c r="E636" s="28" t="s">
        <v>73</v>
      </c>
      <c r="F636" s="28" t="s">
        <v>490</v>
      </c>
      <c r="G636" s="28" t="s">
        <v>30</v>
      </c>
      <c r="H636" s="51" t="str">
        <f>HYPERLINK("https://innovativeincomeinvestor.com/security/tennessee-valley-authority-3-55/","TVC")</f>
        <v>TVC</v>
      </c>
      <c r="I636" s="47">
        <v>2.1340000000000001E-2</v>
      </c>
      <c r="J636" s="26">
        <f ca="1">IFERROR(__xludf.DUMMYFUNCTION("GOOGLEFINANCE(H636)"),23.73)</f>
        <v>23.73</v>
      </c>
      <c r="K636" s="26">
        <f ca="1">IFERROR(__xludf.DUMMYFUNCTION("GOOGLEFINANCE(H636,""change"")"),0.03)</f>
        <v>0.03</v>
      </c>
      <c r="L636" s="27">
        <f t="shared" ca="1" si="361"/>
        <v>2.2418879056047197E-2</v>
      </c>
      <c r="M636" s="27">
        <f t="shared" ca="1" si="362"/>
        <v>8.246471716667661E-2</v>
      </c>
      <c r="N636" s="28" t="s">
        <v>39</v>
      </c>
      <c r="O636" s="28" t="s">
        <v>491</v>
      </c>
      <c r="P636" s="28" t="s">
        <v>492</v>
      </c>
      <c r="Q636" s="65">
        <v>0.13300000000000001</v>
      </c>
      <c r="R636" s="64" t="s">
        <v>86</v>
      </c>
      <c r="S636" s="64">
        <v>46905</v>
      </c>
      <c r="T636" s="62" t="s">
        <v>81</v>
      </c>
      <c r="U636" s="16">
        <f t="shared" ca="1" si="363"/>
        <v>2.8958904109589043</v>
      </c>
      <c r="V636" s="11" t="str">
        <v>All</v>
      </c>
      <c r="X636">
        <f t="shared" ca="1" si="329"/>
        <v>7.4528106606466166E-2</v>
      </c>
      <c r="Z636" s="17">
        <f t="shared" ca="1" si="330"/>
        <v>46213</v>
      </c>
      <c r="AG636" s="33">
        <f t="shared" ca="1" si="331"/>
        <v>4.8134639358057008E-2</v>
      </c>
      <c r="AH636">
        <f t="shared" ca="1" si="332"/>
        <v>3.2391543246097804E-2</v>
      </c>
      <c r="AI636">
        <f t="shared" ca="1" si="333"/>
        <v>2.9401790705214797E-2</v>
      </c>
      <c r="AJ636">
        <f t="shared" ca="1" si="334"/>
        <v>2.7160974344392675E-2</v>
      </c>
      <c r="AK636">
        <f t="shared" ca="1" si="335"/>
        <v>2.4564130176680816E-2</v>
      </c>
    </row>
    <row r="637" spans="1:37" ht="17.25" customHeight="1">
      <c r="A637" s="68"/>
      <c r="B637" s="69" t="s">
        <v>493</v>
      </c>
      <c r="C637" s="28" t="s">
        <v>27</v>
      </c>
      <c r="D637" s="28" t="s">
        <v>27</v>
      </c>
      <c r="E637" s="28" t="s">
        <v>37</v>
      </c>
      <c r="F637" s="36" t="s">
        <v>29</v>
      </c>
      <c r="G637" s="28" t="s">
        <v>30</v>
      </c>
      <c r="H637" s="119" t="str">
        <f>HYPERLINK("https://innovativeincomeinvestor.com/security/terra-income-fund-6-inc-7-00-notes-due-2026/","TFSA")</f>
        <v>TFSA</v>
      </c>
      <c r="I637" s="47">
        <v>7.0000000000000007E-2</v>
      </c>
      <c r="J637" s="26">
        <f ca="1">IFERROR(__xludf.DUMMYFUNCTION("GOOGLEFINANCE(H637)"),23.28)</f>
        <v>23.28</v>
      </c>
      <c r="K637" s="26">
        <f ca="1">IFERROR(__xludf.DUMMYFUNCTION("GOOGLEFINANCE(H637,""change"")"),0)</f>
        <v>0</v>
      </c>
      <c r="L637" s="27">
        <f t="shared" ca="1" si="361"/>
        <v>7.560137457044673E-2</v>
      </c>
      <c r="M637" s="27">
        <f t="shared" ref="M637:M638" ca="1" si="364">(25-J637)/25</f>
        <v>6.8799999999999958E-2</v>
      </c>
      <c r="N637" s="89" t="s">
        <v>31</v>
      </c>
      <c r="O637" s="89" t="s">
        <v>32</v>
      </c>
      <c r="P637" s="89" t="s">
        <v>32</v>
      </c>
      <c r="Q637" s="91">
        <v>0.44</v>
      </c>
      <c r="R637" s="64">
        <v>44967</v>
      </c>
      <c r="S637" s="82">
        <v>46112</v>
      </c>
      <c r="T637" s="62" t="s">
        <v>56</v>
      </c>
      <c r="U637" s="16">
        <f t="shared" ref="U637:U641" ca="1" si="365">(R637-TODAY())/365</f>
        <v>-2.4136986301369863</v>
      </c>
      <c r="V637" s="11" t="str">
        <v>All</v>
      </c>
      <c r="X637">
        <f t="shared" ca="1" si="329"/>
        <v>0.14515277034708834</v>
      </c>
      <c r="Z637" s="17">
        <f t="shared" ca="1" si="330"/>
        <v>46213</v>
      </c>
      <c r="AG637" s="33">
        <f t="shared" ca="1" si="331"/>
        <v>0.10873981365759749</v>
      </c>
      <c r="AH637">
        <f t="shared" ca="1" si="332"/>
        <v>8.7128251989644537E-2</v>
      </c>
      <c r="AI637">
        <f t="shared" ca="1" si="333"/>
        <v>8.3067314900850522E-2</v>
      </c>
      <c r="AJ637">
        <f t="shared" ca="1" si="334"/>
        <v>8.0066177927151386E-2</v>
      </c>
      <c r="AK637">
        <f t="shared" ca="1" si="335"/>
        <v>7.6759331749442189E-2</v>
      </c>
    </row>
    <row r="638" spans="1:37" ht="17.25" customHeight="1">
      <c r="A638" s="68"/>
      <c r="B638" s="69" t="s">
        <v>494</v>
      </c>
      <c r="C638" s="28" t="s">
        <v>27</v>
      </c>
      <c r="D638" s="28" t="s">
        <v>27</v>
      </c>
      <c r="E638" s="28" t="s">
        <v>495</v>
      </c>
      <c r="F638" s="36" t="s">
        <v>29</v>
      </c>
      <c r="G638" s="28" t="s">
        <v>30</v>
      </c>
      <c r="H638" s="46" t="str">
        <f>HYPERLINK("https://innovativeincomeinvestor.com/security/terra-property-trust-inc-6-00-notes-due-2026/","TPTA")</f>
        <v>TPTA</v>
      </c>
      <c r="I638" s="47">
        <v>0.06</v>
      </c>
      <c r="J638" s="26">
        <f ca="1">IFERROR(__xludf.DUMMYFUNCTION("GOOGLEFINANCE(H638)"),20.2)</f>
        <v>20.2</v>
      </c>
      <c r="K638" s="26">
        <f ca="1">IFERROR(__xludf.DUMMYFUNCTION("GOOGLEFINANCE(H638,""change"")"),0.06)</f>
        <v>0.06</v>
      </c>
      <c r="L638" s="27">
        <f t="shared" ca="1" si="361"/>
        <v>7.5247524752475245E-2</v>
      </c>
      <c r="M638" s="27">
        <f t="shared" ca="1" si="364"/>
        <v>0.19200000000000003</v>
      </c>
      <c r="N638" s="89" t="s">
        <v>31</v>
      </c>
      <c r="O638" s="89" t="s">
        <v>32</v>
      </c>
      <c r="P638" s="89" t="s">
        <v>32</v>
      </c>
      <c r="Q638" s="91">
        <v>0.38</v>
      </c>
      <c r="R638" s="64">
        <v>45107</v>
      </c>
      <c r="S638" s="82">
        <v>46203</v>
      </c>
      <c r="T638" s="62" t="s">
        <v>56</v>
      </c>
      <c r="U638" s="16">
        <f t="shared" ca="1" si="365"/>
        <v>-2.0301369863013701</v>
      </c>
      <c r="V638" s="11" t="str">
        <v>All</v>
      </c>
      <c r="X638">
        <f t="shared" ca="1" si="329"/>
        <v>0.28772444906843148</v>
      </c>
      <c r="Z638" s="17">
        <f t="shared" ca="1" si="330"/>
        <v>46213</v>
      </c>
      <c r="AG638" s="33">
        <f t="shared" ca="1" si="331"/>
        <v>0.17595571880898478</v>
      </c>
      <c r="AH638">
        <f t="shared" ca="1" si="332"/>
        <v>0.11051739994966639</v>
      </c>
      <c r="AI638">
        <f t="shared" ca="1" si="333"/>
        <v>9.8280085415986235E-2</v>
      </c>
      <c r="AJ638">
        <f t="shared" ca="1" si="334"/>
        <v>8.9233292268730044E-2</v>
      </c>
      <c r="AK638">
        <f t="shared" ca="1" si="335"/>
        <v>7.9215523799888915E-2</v>
      </c>
    </row>
    <row r="639" spans="1:37" ht="17.25" customHeight="1">
      <c r="A639" s="68"/>
      <c r="B639" s="69" t="s">
        <v>496</v>
      </c>
      <c r="C639" s="28" t="s">
        <v>27</v>
      </c>
      <c r="D639" s="28" t="s">
        <v>35</v>
      </c>
      <c r="E639" s="28" t="s">
        <v>110</v>
      </c>
      <c r="F639" s="36" t="s">
        <v>29</v>
      </c>
      <c r="G639" s="28" t="s">
        <v>38</v>
      </c>
      <c r="H639" s="23" t="str">
        <f>HYPERLINK("https://innovativeincomeinvestor.com/security/texas-capital-bancshares-5-75-fixed-rate-non-cumulative-perpetual-preferred-stock-series-b/","TCBIO")</f>
        <v>TCBIO</v>
      </c>
      <c r="I639" s="47">
        <v>5.7500000000000002E-2</v>
      </c>
      <c r="J639" s="96">
        <f ca="1">IFERROR(__xludf.DUMMYFUNCTION("GoogleFinance(H639)"),21.05)</f>
        <v>21.05</v>
      </c>
      <c r="K639" s="113">
        <f ca="1">IFERROR(__xludf.DUMMYFUNCTION("googlefinance(H639,""change"")"),0.05)</f>
        <v>0.05</v>
      </c>
      <c r="L639" s="97">
        <f t="shared" ca="1" si="361"/>
        <v>6.8289786223277901E-2</v>
      </c>
      <c r="M639" s="97">
        <f t="array" aca="1" ref="M639" ca="1">L639*U639+(25-J639)/25/U639</f>
        <v>0.23323005066406868</v>
      </c>
      <c r="N639" s="89" t="s">
        <v>31</v>
      </c>
      <c r="O639" s="97" t="s">
        <v>254</v>
      </c>
      <c r="P639" s="97" t="s">
        <v>146</v>
      </c>
      <c r="Q639" s="91">
        <f>(I639*25)/4</f>
        <v>0.359375</v>
      </c>
      <c r="R639" s="64">
        <v>46188</v>
      </c>
      <c r="S639" s="28" t="s">
        <v>41</v>
      </c>
      <c r="T639" s="62" t="s">
        <v>52</v>
      </c>
      <c r="U639" s="16">
        <f t="shared" ca="1" si="365"/>
        <v>0.93150684931506844</v>
      </c>
      <c r="V639" s="11" t="str">
        <v>All</v>
      </c>
      <c r="X639">
        <f t="shared" ca="1" si="329"/>
        <v>0.23987697846556033</v>
      </c>
      <c r="Z639" s="17">
        <f t="shared" ca="1" si="330"/>
        <v>46213</v>
      </c>
      <c r="AG639" s="33">
        <f t="shared" ca="1" si="331"/>
        <v>0.15044598959524616</v>
      </c>
      <c r="AH639">
        <f t="shared" ca="1" si="332"/>
        <v>9.7852635575018582E-2</v>
      </c>
      <c r="AI639">
        <f t="shared" ca="1" si="333"/>
        <v>8.7988259946941413E-2</v>
      </c>
      <c r="AJ639">
        <f t="shared" ca="1" si="334"/>
        <v>8.0680140816905943E-2</v>
      </c>
      <c r="AK639">
        <f t="shared" ca="1" si="335"/>
        <v>7.2533524482888162E-2</v>
      </c>
    </row>
    <row r="640" spans="1:37" ht="17.25" customHeight="1">
      <c r="A640" s="68"/>
      <c r="B640" s="69" t="s">
        <v>497</v>
      </c>
      <c r="C640" s="28" t="s">
        <v>35</v>
      </c>
      <c r="D640" s="28" t="s">
        <v>35</v>
      </c>
      <c r="E640" s="28" t="s">
        <v>67</v>
      </c>
      <c r="F640" s="36" t="s">
        <v>29</v>
      </c>
      <c r="G640" s="28" t="s">
        <v>38</v>
      </c>
      <c r="H640" s="55" t="str">
        <f>HYPERLINK("https://innovativeincomeinvestor.com/security/textainer-group-holdings-6-25-series-b-cumulative-redeemable-perpetual-preferred-stock/","TGH-B")</f>
        <v>TGH-B</v>
      </c>
      <c r="I640" s="47">
        <v>6.25E-2</v>
      </c>
      <c r="J640" s="170" t="s">
        <v>68</v>
      </c>
      <c r="K640" s="170" t="s">
        <v>68</v>
      </c>
      <c r="L640" s="170" t="s">
        <v>68</v>
      </c>
      <c r="M640" s="170" t="s">
        <v>68</v>
      </c>
      <c r="N640" s="28" t="s">
        <v>31</v>
      </c>
      <c r="O640" s="27" t="s">
        <v>32</v>
      </c>
      <c r="P640" s="27" t="s">
        <v>32</v>
      </c>
      <c r="Q640" s="29">
        <v>0.39</v>
      </c>
      <c r="R640" s="64">
        <v>46371</v>
      </c>
      <c r="S640" s="28" t="s">
        <v>41</v>
      </c>
      <c r="T640" s="62" t="s">
        <v>52</v>
      </c>
      <c r="U640" s="16">
        <f t="shared" ca="1" si="365"/>
        <v>1.4328767123287671</v>
      </c>
      <c r="V640" s="11" t="str">
        <v>All</v>
      </c>
      <c r="X640" t="e">
        <f t="shared" ca="1" si="329"/>
        <v>#VALUE!</v>
      </c>
      <c r="Z640" s="17">
        <f t="shared" ca="1" si="330"/>
        <v>46213</v>
      </c>
      <c r="AG640" s="33" t="e">
        <f t="shared" ca="1" si="331"/>
        <v>#VALUE!</v>
      </c>
      <c r="AH640" t="e">
        <f t="shared" ca="1" si="332"/>
        <v>#VALUE!</v>
      </c>
      <c r="AI640" t="e">
        <f t="shared" ca="1" si="333"/>
        <v>#VALUE!</v>
      </c>
      <c r="AJ640" t="e">
        <f t="shared" ca="1" si="334"/>
        <v>#VALUE!</v>
      </c>
      <c r="AK640" t="e">
        <f t="shared" ca="1" si="335"/>
        <v>#VALUE!</v>
      </c>
    </row>
    <row r="641" spans="1:37" ht="17.25" customHeight="1">
      <c r="A641" s="68"/>
      <c r="B641" s="69" t="s">
        <v>497</v>
      </c>
      <c r="C641" s="28" t="s">
        <v>35</v>
      </c>
      <c r="D641" s="28" t="s">
        <v>35</v>
      </c>
      <c r="E641" s="28" t="s">
        <v>67</v>
      </c>
      <c r="F641" s="36" t="s">
        <v>61</v>
      </c>
      <c r="G641" s="28" t="s">
        <v>38</v>
      </c>
      <c r="H641" s="55" t="str">
        <f>HYPERLINK("https://innovativeincomeinvestor.com/security/textainer-group-holdings-limited-7-00-series-a-cumulative-redeemable-perpetual-preference-shares/","TGH-A")</f>
        <v>TGH-A</v>
      </c>
      <c r="I641" s="47">
        <v>7.0000000000000007E-2</v>
      </c>
      <c r="J641" s="170" t="s">
        <v>68</v>
      </c>
      <c r="K641" s="170" t="s">
        <v>68</v>
      </c>
      <c r="L641" s="170" t="s">
        <v>68</v>
      </c>
      <c r="M641" s="170" t="s">
        <v>68</v>
      </c>
      <c r="N641" s="28" t="s">
        <v>31</v>
      </c>
      <c r="O641" s="27" t="s">
        <v>32</v>
      </c>
      <c r="P641" s="27" t="s">
        <v>32</v>
      </c>
      <c r="Q641" s="29">
        <f>(I641*25)/4</f>
        <v>0.43750000000000006</v>
      </c>
      <c r="R641" s="64">
        <v>46188</v>
      </c>
      <c r="S641" s="28" t="s">
        <v>41</v>
      </c>
      <c r="T641" s="62" t="s">
        <v>52</v>
      </c>
      <c r="U641" s="16">
        <f t="shared" ca="1" si="365"/>
        <v>0.93150684931506844</v>
      </c>
      <c r="V641" s="11" t="str">
        <v>All</v>
      </c>
      <c r="X641" t="e">
        <f t="shared" ca="1" si="329"/>
        <v>#VALUE!</v>
      </c>
      <c r="Z641" s="17">
        <f t="shared" ca="1" si="330"/>
        <v>46213</v>
      </c>
      <c r="AG641" s="33" t="e">
        <f t="shared" ca="1" si="331"/>
        <v>#VALUE!</v>
      </c>
      <c r="AH641" t="e">
        <f t="shared" ca="1" si="332"/>
        <v>#VALUE!</v>
      </c>
      <c r="AI641" t="e">
        <f t="shared" ca="1" si="333"/>
        <v>#VALUE!</v>
      </c>
      <c r="AJ641" t="e">
        <f t="shared" ca="1" si="334"/>
        <v>#VALUE!</v>
      </c>
      <c r="AK641" t="e">
        <f t="shared" ca="1" si="335"/>
        <v>#VALUE!</v>
      </c>
    </row>
    <row r="642" spans="1:37" ht="17.25" customHeight="1">
      <c r="A642" s="68"/>
      <c r="B642" s="69" t="s">
        <v>498</v>
      </c>
      <c r="C642" s="28" t="s">
        <v>27</v>
      </c>
      <c r="D642" s="28" t="s">
        <v>35</v>
      </c>
      <c r="E642" s="28" t="s">
        <v>110</v>
      </c>
      <c r="F642" s="36" t="s">
        <v>61</v>
      </c>
      <c r="G642" s="28" t="s">
        <v>38</v>
      </c>
      <c r="H642" s="51" t="str">
        <f>HYPERLINK("https://innovativeincomeinvestor.com/security/the-bank-of-new-york-mellon-corporation-6-15-series-k-non-cumulative-preferred-stock/","BK-K")</f>
        <v>BK-K</v>
      </c>
      <c r="I642" s="47">
        <v>6.1499999999999999E-2</v>
      </c>
      <c r="J642" s="26">
        <f ca="1">IFERROR(__xludf.DUMMYFUNCTION("GOOGLEFINANCE(H642)"),25.69)</f>
        <v>25.69</v>
      </c>
      <c r="K642" s="26">
        <f ca="1">IFERROR(__xludf.DUMMYFUNCTION("GOOGLEFINANCE(H642,""change"")"),-0.2)</f>
        <v>-0.2</v>
      </c>
      <c r="L642" s="27">
        <f t="shared" ref="L642:L644" ca="1" si="366">(Q642*4)/J642</f>
        <v>5.9322693655118719E-2</v>
      </c>
      <c r="M642" s="97" t="e">
        <f t="shared" ref="M642:M652" ca="1" si="367">L642*U642+(25-J642)/25/U642</f>
        <v>#DIV/0!</v>
      </c>
      <c r="N642" s="28" t="s">
        <v>39</v>
      </c>
      <c r="O642" s="28" t="s">
        <v>50</v>
      </c>
      <c r="P642" s="28" t="s">
        <v>51</v>
      </c>
      <c r="Q642" s="29">
        <v>0.38100000000000001</v>
      </c>
      <c r="R642" s="64">
        <v>47562</v>
      </c>
      <c r="S642" s="28" t="s">
        <v>41</v>
      </c>
      <c r="T642" s="62" t="s">
        <v>499</v>
      </c>
      <c r="U642" s="16"/>
      <c r="V642" s="11" t="str">
        <v>All</v>
      </c>
      <c r="X642">
        <f t="shared" ca="1" si="329"/>
        <v>3.3322797390608387E-2</v>
      </c>
      <c r="Z642" s="17">
        <f t="shared" ca="1" si="330"/>
        <v>46213</v>
      </c>
      <c r="AG642" s="33">
        <f t="shared" ca="1" si="331"/>
        <v>4.6961004005593138E-2</v>
      </c>
      <c r="AH642">
        <f t="shared" ca="1" si="332"/>
        <v>5.5143041596669676E-2</v>
      </c>
      <c r="AI642">
        <f t="shared" ca="1" si="333"/>
        <v>5.6692144082542792E-2</v>
      </c>
      <c r="AJ642">
        <f t="shared" ca="1" si="334"/>
        <v>5.7844034872523008E-2</v>
      </c>
      <c r="AK642">
        <f t="shared" ca="1" si="335"/>
        <v>5.9136239127178102E-2</v>
      </c>
    </row>
    <row r="643" spans="1:37" ht="17.25" customHeight="1">
      <c r="A643" s="68"/>
      <c r="B643" s="69" t="s">
        <v>500</v>
      </c>
      <c r="C643" s="28" t="s">
        <v>27</v>
      </c>
      <c r="D643" s="28" t="s">
        <v>27</v>
      </c>
      <c r="E643" s="28" t="s">
        <v>67</v>
      </c>
      <c r="F643" s="36" t="s">
        <v>29</v>
      </c>
      <c r="G643" s="28" t="s">
        <v>30</v>
      </c>
      <c r="H643" s="23" t="str">
        <f>HYPERLINK("https://innovativeincomeinvestor.com/security/tpg-operating-group-lp-6-95-fixed-rate-junior-subordinated-notes-due-2064/","TPGXL")</f>
        <v>TPGXL</v>
      </c>
      <c r="I643" s="47">
        <v>6.9500000000000006E-2</v>
      </c>
      <c r="J643" s="26">
        <f ca="1">IFERROR(__xludf.DUMMYFUNCTION("GOOGLEFINANCE(H643)"),25.72)</f>
        <v>25.72</v>
      </c>
      <c r="K643" s="26">
        <f ca="1">IFERROR(__xludf.DUMMYFUNCTION("GOOGLEFINANCE(H643,""change"")"),-0.01)</f>
        <v>-0.01</v>
      </c>
      <c r="L643" s="27">
        <f t="shared" ca="1" si="366"/>
        <v>6.7554432348367041E-2</v>
      </c>
      <c r="M643" s="97">
        <f t="shared" ca="1" si="367"/>
        <v>0.24092694697981884</v>
      </c>
      <c r="N643" s="28" t="s">
        <v>39</v>
      </c>
      <c r="O643" s="28" t="s">
        <v>55</v>
      </c>
      <c r="P643" s="28" t="s">
        <v>51</v>
      </c>
      <c r="Q643" s="29">
        <f>(I643*25)/4</f>
        <v>0.43437500000000007</v>
      </c>
      <c r="R643" s="64">
        <v>47192</v>
      </c>
      <c r="S643" s="82">
        <v>59976</v>
      </c>
      <c r="T643" s="62" t="s">
        <v>52</v>
      </c>
      <c r="U643" s="16">
        <f t="shared" ref="U643:U652" ca="1" si="368">(R643-TODAY())/365</f>
        <v>3.6821917808219178</v>
      </c>
      <c r="V643" s="11" t="str">
        <v>All</v>
      </c>
      <c r="X643">
        <f t="shared" ref="X643:X706" ca="1" si="369">YIELD($W$1,Z643,I643,J643*4,100,4,0)</f>
        <v>3.9976839015659099E-2</v>
      </c>
      <c r="Z643" s="17">
        <f t="shared" ref="Z643:Z706" ca="1" si="370">TODAY()+($Z$1*$Y$1)</f>
        <v>46213</v>
      </c>
      <c r="AG643" s="33">
        <f t="shared" ref="AG643:AG706" ca="1" si="371">YIELD($W$1,$AA$2,I643,J643*4,100,4,0)</f>
        <v>5.4208041210682997E-2</v>
      </c>
      <c r="AH643">
        <f t="shared" ref="AH643:AH706" ca="1" si="372">YIELD($W$1,$AB$2,I643,J643*4,100,4,0)</f>
        <v>6.2741127425634022E-2</v>
      </c>
      <c r="AI643">
        <f t="shared" ref="AI643:AI706" ca="1" si="373">YIELD($W$1,$AC$2,I643,J643*4,100,4,0)</f>
        <v>6.4353447229304042E-2</v>
      </c>
      <c r="AJ643">
        <f t="shared" ref="AJ643:AJ706" ca="1" si="374">YIELD($W$1,$AD$2,I643,J643*4,100,4,0)</f>
        <v>6.5549011524197079E-2</v>
      </c>
      <c r="AK643">
        <f t="shared" ref="AK643:AK706" ca="1" si="375">YIELD($W$1,$AE$2,I643,J643*4,100,4,0)</f>
        <v>6.6876503312014848E-2</v>
      </c>
    </row>
    <row r="644" spans="1:37" ht="17.25" customHeight="1">
      <c r="A644" s="68"/>
      <c r="B644" s="69" t="s">
        <v>501</v>
      </c>
      <c r="C644" s="28" t="s">
        <v>35</v>
      </c>
      <c r="D644" s="28" t="s">
        <v>27</v>
      </c>
      <c r="E644" s="28" t="s">
        <v>44</v>
      </c>
      <c r="F644" s="36" t="s">
        <v>29</v>
      </c>
      <c r="G644" s="28" t="s">
        <v>38</v>
      </c>
      <c r="H644" s="55" t="str">
        <f>HYPERLINK("https://innovativeincomeinvestor.com/security/tpg-real-estate-finance-trust-6-25-series-c-cumulative-redeemable-preferred-stock/","TRTX-C")</f>
        <v>TRTX-C</v>
      </c>
      <c r="I644" s="47">
        <v>6.25E-2</v>
      </c>
      <c r="J644" s="26">
        <f ca="1">IFERROR(__xludf.DUMMYFUNCTION("GOOGLEFINANCE(H644)"),17.35)</f>
        <v>17.350000000000001</v>
      </c>
      <c r="K644" s="26">
        <f ca="1">IFERROR(__xludf.DUMMYFUNCTION("GOOGLEFINANCE(H644,""change"")"),0)</f>
        <v>0</v>
      </c>
      <c r="L644" s="27">
        <f t="shared" ca="1" si="366"/>
        <v>9.0051873198847249E-2</v>
      </c>
      <c r="M644" s="97">
        <f t="shared" ca="1" si="367"/>
        <v>0.41310624576623201</v>
      </c>
      <c r="N644" s="28" t="s">
        <v>31</v>
      </c>
      <c r="O644" s="27" t="s">
        <v>32</v>
      </c>
      <c r="P644" s="27" t="s">
        <v>32</v>
      </c>
      <c r="Q644" s="29">
        <v>0.3906</v>
      </c>
      <c r="R644" s="64">
        <v>46187</v>
      </c>
      <c r="S644" s="28" t="s">
        <v>41</v>
      </c>
      <c r="T644" s="62" t="s">
        <v>56</v>
      </c>
      <c r="U644" s="16">
        <f t="shared" ca="1" si="368"/>
        <v>0.92876712328767119</v>
      </c>
      <c r="V644" s="11" t="str">
        <v>All</v>
      </c>
      <c r="X644">
        <f t="shared" ca="1" si="369"/>
        <v>0.46158161520125729</v>
      </c>
      <c r="Z644" s="17">
        <f t="shared" ca="1" si="370"/>
        <v>46213</v>
      </c>
      <c r="AG644" s="33">
        <f t="shared" ca="1" si="371"/>
        <v>0.2643916634921204</v>
      </c>
      <c r="AH644">
        <f t="shared" ca="1" si="372"/>
        <v>0.15076458863512118</v>
      </c>
      <c r="AI644">
        <f t="shared" ca="1" si="373"/>
        <v>0.12971464387720302</v>
      </c>
      <c r="AJ644">
        <f t="shared" ca="1" si="374"/>
        <v>0.11424295132982071</v>
      </c>
      <c r="AK644">
        <f t="shared" ca="1" si="375"/>
        <v>9.7404700794692864E-2</v>
      </c>
    </row>
    <row r="645" spans="1:37" ht="17.25" customHeight="1">
      <c r="A645" s="19"/>
      <c r="B645" s="45" t="s">
        <v>502</v>
      </c>
      <c r="C645" s="28" t="s">
        <v>27</v>
      </c>
      <c r="D645" s="28" t="s">
        <v>27</v>
      </c>
      <c r="E645" s="36" t="s">
        <v>171</v>
      </c>
      <c r="F645" s="28" t="s">
        <v>29</v>
      </c>
      <c r="G645" s="28" t="s">
        <v>30</v>
      </c>
      <c r="H645" s="23" t="str">
        <f>HYPERLINK("https://innovativeincomeinvestor.com/security/trinity-capital-inc-7-00-notes-due-2025/","TRINL")</f>
        <v>TRINL</v>
      </c>
      <c r="I645" s="47">
        <v>7.0000000000000007E-2</v>
      </c>
      <c r="J645" s="170" t="s">
        <v>68</v>
      </c>
      <c r="K645" s="170" t="s">
        <v>68</v>
      </c>
      <c r="L645" s="170" t="s">
        <v>68</v>
      </c>
      <c r="M645" s="27" t="e">
        <f t="shared" ca="1" si="367"/>
        <v>#VALUE!</v>
      </c>
      <c r="N645" s="28" t="s">
        <v>31</v>
      </c>
      <c r="O645" s="27" t="s">
        <v>32</v>
      </c>
      <c r="P645" s="27" t="s">
        <v>32</v>
      </c>
      <c r="Q645" s="65">
        <v>0.44</v>
      </c>
      <c r="R645" s="64">
        <v>44942</v>
      </c>
      <c r="S645" s="64">
        <v>45673</v>
      </c>
      <c r="T645" s="62" t="s">
        <v>52</v>
      </c>
      <c r="U645" s="16">
        <f t="shared" ca="1" si="368"/>
        <v>-2.4821917808219176</v>
      </c>
      <c r="V645" s="11" t="str">
        <v>All</v>
      </c>
      <c r="X645" t="e">
        <f t="shared" ca="1" si="369"/>
        <v>#VALUE!</v>
      </c>
      <c r="Z645" s="17">
        <f t="shared" ca="1" si="370"/>
        <v>46213</v>
      </c>
      <c r="AG645" s="33" t="e">
        <f t="shared" ca="1" si="371"/>
        <v>#VALUE!</v>
      </c>
      <c r="AH645" t="e">
        <f t="shared" ca="1" si="372"/>
        <v>#VALUE!</v>
      </c>
      <c r="AI645" t="e">
        <f t="shared" ca="1" si="373"/>
        <v>#VALUE!</v>
      </c>
      <c r="AJ645" t="e">
        <f t="shared" ca="1" si="374"/>
        <v>#VALUE!</v>
      </c>
      <c r="AK645" t="e">
        <f t="shared" ca="1" si="375"/>
        <v>#VALUE!</v>
      </c>
    </row>
    <row r="646" spans="1:37" ht="17.25" customHeight="1">
      <c r="A646" s="19"/>
      <c r="B646" s="45" t="s">
        <v>502</v>
      </c>
      <c r="C646" s="36" t="s">
        <v>27</v>
      </c>
      <c r="D646" s="28" t="s">
        <v>27</v>
      </c>
      <c r="E646" s="28" t="s">
        <v>171</v>
      </c>
      <c r="F646" s="36" t="s">
        <v>29</v>
      </c>
      <c r="G646" s="28" t="s">
        <v>30</v>
      </c>
      <c r="H646" s="83" t="str">
        <f>HYPERLINK("https://innovativeincomeinvestor.com/security/trinity-capital-inc-7-875-notes-due-2029-2/","TRINI")</f>
        <v>TRINI</v>
      </c>
      <c r="I646" s="47">
        <v>7.8750000000000001E-2</v>
      </c>
      <c r="J646" s="26">
        <f ca="1">IFERROR(__xludf.DUMMYFUNCTION("GOOGLEFINANCE(H646)"),25.2)</f>
        <v>25.2</v>
      </c>
      <c r="K646" s="26">
        <f ca="1">IFERROR(__xludf.DUMMYFUNCTION("GOOGLEFINANCE(H646,""change"")"),0)</f>
        <v>0</v>
      </c>
      <c r="L646" s="27">
        <f t="shared" ref="L646:L655" ca="1" si="376">(Q646*4)/J646</f>
        <v>7.7777777777777779E-2</v>
      </c>
      <c r="M646" s="27">
        <f t="shared" ca="1" si="367"/>
        <v>8.8718703073764227E-2</v>
      </c>
      <c r="N646" s="28" t="s">
        <v>31</v>
      </c>
      <c r="O646" s="27" t="s">
        <v>32</v>
      </c>
      <c r="P646" s="27" t="s">
        <v>32</v>
      </c>
      <c r="Q646" s="29">
        <v>0.49</v>
      </c>
      <c r="R646" s="53">
        <v>46295</v>
      </c>
      <c r="S646" s="61">
        <v>47391</v>
      </c>
      <c r="T646" s="62" t="s">
        <v>56</v>
      </c>
      <c r="U646" s="16">
        <f t="shared" ca="1" si="368"/>
        <v>1.2246575342465753</v>
      </c>
      <c r="V646" s="11" t="str">
        <v>All</v>
      </c>
      <c r="X646">
        <f t="shared" ca="1" si="369"/>
        <v>7.0394955269731663E-2</v>
      </c>
      <c r="Z646" s="17">
        <f t="shared" ca="1" si="370"/>
        <v>46213</v>
      </c>
      <c r="AG646" s="33">
        <f t="shared" ca="1" si="371"/>
        <v>7.4407966842553505E-2</v>
      </c>
      <c r="AH646">
        <f t="shared" ca="1" si="372"/>
        <v>7.6806644560002843E-2</v>
      </c>
      <c r="AI646">
        <f t="shared" ca="1" si="373"/>
        <v>7.725799612648554E-2</v>
      </c>
      <c r="AJ646">
        <f t="shared" ca="1" si="374"/>
        <v>7.7591513038789778E-2</v>
      </c>
      <c r="AK646">
        <f t="shared" ca="1" si="375"/>
        <v>7.7955844180169431E-2</v>
      </c>
    </row>
    <row r="647" spans="1:37" ht="17.25" customHeight="1">
      <c r="A647" s="19"/>
      <c r="B647" s="45" t="s">
        <v>502</v>
      </c>
      <c r="C647" s="36" t="s">
        <v>27</v>
      </c>
      <c r="D647" s="28" t="s">
        <v>27</v>
      </c>
      <c r="E647" s="28" t="s">
        <v>171</v>
      </c>
      <c r="F647" s="36" t="s">
        <v>272</v>
      </c>
      <c r="G647" s="28" t="s">
        <v>30</v>
      </c>
      <c r="H647" s="23" t="str">
        <f>HYPERLINK("https://innovativeincomeinvestor.com/security/trinity-capital-inc-7-875-notes-due-2029/","TRINZ")</f>
        <v>TRINZ</v>
      </c>
      <c r="I647" s="47">
        <v>7.8750000000000001E-2</v>
      </c>
      <c r="J647" s="26">
        <f ca="1">IFERROR(__xludf.DUMMYFUNCTION("GOOGLEFINANCE(H647)"),25.15)</f>
        <v>25.15</v>
      </c>
      <c r="K647" s="26">
        <f ca="1">IFERROR(__xludf.DUMMYFUNCTION("GOOGLEFINANCE(H647,""change"")"),0)</f>
        <v>0</v>
      </c>
      <c r="L647" s="27">
        <f t="shared" ca="1" si="376"/>
        <v>7.7932405566600402E-2</v>
      </c>
      <c r="M647" s="27">
        <f t="shared" ca="1" si="367"/>
        <v>4.7827038498215436E-2</v>
      </c>
      <c r="N647" s="28" t="s">
        <v>31</v>
      </c>
      <c r="O647" s="27" t="s">
        <v>32</v>
      </c>
      <c r="P647" s="27" t="s">
        <v>32</v>
      </c>
      <c r="Q647" s="29">
        <v>0.49</v>
      </c>
      <c r="R647" s="53">
        <v>46111</v>
      </c>
      <c r="S647" s="61">
        <v>47207</v>
      </c>
      <c r="T647" s="62" t="s">
        <v>56</v>
      </c>
      <c r="U647" s="16">
        <f t="shared" ca="1" si="368"/>
        <v>0.72054794520547949</v>
      </c>
      <c r="V647" s="11" t="str">
        <v>All</v>
      </c>
      <c r="X647">
        <f t="shared" ca="1" si="369"/>
        <v>7.2475775882950594E-2</v>
      </c>
      <c r="Z647" s="17">
        <f t="shared" ca="1" si="370"/>
        <v>46213</v>
      </c>
      <c r="AG647" s="33">
        <f t="shared" ca="1" si="371"/>
        <v>7.5489667106208941E-2</v>
      </c>
      <c r="AH647">
        <f t="shared" ca="1" si="372"/>
        <v>7.7290648210595184E-2</v>
      </c>
      <c r="AI647">
        <f t="shared" ca="1" si="373"/>
        <v>7.7629452059343337E-2</v>
      </c>
      <c r="AJ647">
        <f t="shared" ca="1" si="374"/>
        <v>7.78798804364145E-2</v>
      </c>
      <c r="AK647">
        <f t="shared" ca="1" si="375"/>
        <v>7.8153251895933903E-2</v>
      </c>
    </row>
    <row r="648" spans="1:37" ht="17.25" customHeight="1">
      <c r="A648" s="19"/>
      <c r="B648" s="45" t="s">
        <v>503</v>
      </c>
      <c r="C648" s="36" t="s">
        <v>35</v>
      </c>
      <c r="D648" s="28" t="s">
        <v>35</v>
      </c>
      <c r="E648" s="28" t="s">
        <v>67</v>
      </c>
      <c r="F648" s="36" t="s">
        <v>29</v>
      </c>
      <c r="G648" s="28" t="s">
        <v>38</v>
      </c>
      <c r="H648" s="51" t="str">
        <f>HYPERLINK("https://innovativeincomeinvestor.com/security/triton-international-8-50-series-a-cumulative-redeemable-perpetual-preference-shares/","TRTN-A")</f>
        <v>TRTN-A</v>
      </c>
      <c r="I648" s="47">
        <v>8.5000000000000006E-2</v>
      </c>
      <c r="J648" s="65">
        <f ca="1">IFERROR(__xludf.DUMMYFUNCTION("GoogleFinance(H648)"),25.6)</f>
        <v>25.6</v>
      </c>
      <c r="K648" s="48">
        <f ca="1">IFERROR(__xludf.DUMMYFUNCTION("googlefinance(H648,""change"")"),0.1)</f>
        <v>0.1</v>
      </c>
      <c r="L648" s="27">
        <f t="shared" ca="1" si="376"/>
        <v>8.30078125E-2</v>
      </c>
      <c r="M648" s="27">
        <f t="shared" ca="1" si="367"/>
        <v>-9.1441522373955503E-2</v>
      </c>
      <c r="N648" s="28" t="s">
        <v>31</v>
      </c>
      <c r="O648" s="28" t="s">
        <v>69</v>
      </c>
      <c r="P648" s="27" t="s">
        <v>32</v>
      </c>
      <c r="Q648" s="29">
        <f t="shared" ref="Q648:Q649" si="377">(I648*25)/4</f>
        <v>0.53125</v>
      </c>
      <c r="R648" s="53">
        <v>45366</v>
      </c>
      <c r="S648" s="54" t="s">
        <v>41</v>
      </c>
      <c r="T648" s="62" t="s">
        <v>52</v>
      </c>
      <c r="U648" s="16">
        <f t="shared" ca="1" si="368"/>
        <v>-1.3205479452054794</v>
      </c>
      <c r="V648" s="11" t="str">
        <v>All</v>
      </c>
      <c r="X648">
        <f t="shared" ca="1" si="369"/>
        <v>6.0091901560530195E-2</v>
      </c>
      <c r="Z648" s="17">
        <f t="shared" ca="1" si="370"/>
        <v>46213</v>
      </c>
      <c r="AG648" s="33">
        <f t="shared" ca="1" si="371"/>
        <v>7.2007668689657592E-2</v>
      </c>
      <c r="AH648">
        <f t="shared" ca="1" si="372"/>
        <v>7.9137941357968436E-2</v>
      </c>
      <c r="AI648">
        <f t="shared" ca="1" si="373"/>
        <v>8.0478454204559999E-2</v>
      </c>
      <c r="AJ648">
        <f t="shared" ca="1" si="374"/>
        <v>8.1466091032671231E-2</v>
      </c>
      <c r="AK648">
        <f t="shared" ca="1" si="375"/>
        <v>8.253694178975518E-2</v>
      </c>
    </row>
    <row r="649" spans="1:37" ht="17.25" customHeight="1">
      <c r="A649" s="19"/>
      <c r="B649" s="45" t="s">
        <v>503</v>
      </c>
      <c r="C649" s="36" t="s">
        <v>35</v>
      </c>
      <c r="D649" s="28" t="s">
        <v>35</v>
      </c>
      <c r="E649" s="36" t="s">
        <v>67</v>
      </c>
      <c r="F649" s="36" t="s">
        <v>29</v>
      </c>
      <c r="G649" s="28" t="s">
        <v>38</v>
      </c>
      <c r="H649" s="63" t="str">
        <f>HYPERLINK("https://innovativeincomeinvestor.com/security/triton-international-limited-8-00-series-b-cumulative-redeemable-perpetual-preference-shares/","TRTN-B")</f>
        <v>TRTN-B</v>
      </c>
      <c r="I649" s="47">
        <v>0.08</v>
      </c>
      <c r="J649" s="65">
        <f ca="1">IFERROR(__xludf.DUMMYFUNCTION("GoogleFinance(H649)"),25)</f>
        <v>25</v>
      </c>
      <c r="K649" s="48">
        <f ca="1">IFERROR(__xludf.DUMMYFUNCTION("googlefinance(H649,""change"")"),0.01)</f>
        <v>0.01</v>
      </c>
      <c r="L649" s="27">
        <f t="shared" ca="1" si="376"/>
        <v>0.08</v>
      </c>
      <c r="M649" s="27">
        <f t="shared" ca="1" si="367"/>
        <v>-6.5315068493150691E-2</v>
      </c>
      <c r="N649" s="28" t="s">
        <v>31</v>
      </c>
      <c r="O649" s="28" t="s">
        <v>69</v>
      </c>
      <c r="P649" s="27" t="s">
        <v>32</v>
      </c>
      <c r="Q649" s="29">
        <f t="shared" si="377"/>
        <v>0.5</v>
      </c>
      <c r="R649" s="53">
        <v>45550</v>
      </c>
      <c r="S649" s="54" t="s">
        <v>41</v>
      </c>
      <c r="T649" s="62" t="s">
        <v>52</v>
      </c>
      <c r="U649" s="16">
        <f t="shared" ca="1" si="368"/>
        <v>-0.81643835616438354</v>
      </c>
      <c r="V649" s="11" t="str">
        <v>All</v>
      </c>
      <c r="X649">
        <f t="shared" ca="1" si="369"/>
        <v>0.08</v>
      </c>
      <c r="Z649" s="17">
        <f t="shared" ca="1" si="370"/>
        <v>46213</v>
      </c>
      <c r="AG649" s="33">
        <f t="shared" ca="1" si="371"/>
        <v>0.08</v>
      </c>
      <c r="AH649">
        <f t="shared" ca="1" si="372"/>
        <v>7.9999469211010213E-2</v>
      </c>
      <c r="AI649">
        <f t="shared" ca="1" si="373"/>
        <v>7.999919333268439E-2</v>
      </c>
      <c r="AJ649">
        <f t="shared" ca="1" si="374"/>
        <v>7.9999372593650253E-2</v>
      </c>
      <c r="AK649">
        <f t="shared" ca="1" si="375"/>
        <v>7.9998957080944857E-2</v>
      </c>
    </row>
    <row r="650" spans="1:37" ht="17.25" customHeight="1">
      <c r="A650" s="19"/>
      <c r="B650" s="45" t="s">
        <v>503</v>
      </c>
      <c r="C650" s="36" t="s">
        <v>35</v>
      </c>
      <c r="D650" s="28" t="s">
        <v>35</v>
      </c>
      <c r="E650" s="36" t="s">
        <v>67</v>
      </c>
      <c r="F650" s="28" t="s">
        <v>29</v>
      </c>
      <c r="G650" s="28" t="s">
        <v>38</v>
      </c>
      <c r="H650" s="46" t="str">
        <f>HYPERLINK("https://innovativeincomeinvestor.com/security/triton-international-limited-7-375-series-c-cumulative-redeemable-perpetual-preference-shares/","TRTN-C")</f>
        <v>TRTN-C</v>
      </c>
      <c r="I650" s="47">
        <v>7.3749999999999996E-2</v>
      </c>
      <c r="J650" s="114">
        <f ca="1">IFERROR(__xludf.DUMMYFUNCTION("GoogleFinance(H650)"),24.61)</f>
        <v>24.61</v>
      </c>
      <c r="K650" s="57">
        <f ca="1">IFERROR(__xludf.DUMMYFUNCTION("googlefinance(H650,""change"")"),0.1)</f>
        <v>0.1</v>
      </c>
      <c r="L650" s="58">
        <f t="shared" ca="1" si="376"/>
        <v>7.4766355140186924E-2</v>
      </c>
      <c r="M650" s="58">
        <f t="shared" ca="1" si="367"/>
        <v>-6.9908987511109424E-2</v>
      </c>
      <c r="N650" s="59" t="s">
        <v>31</v>
      </c>
      <c r="O650" s="28" t="s">
        <v>69</v>
      </c>
      <c r="P650" s="58" t="s">
        <v>32</v>
      </c>
      <c r="Q650" s="60">
        <v>0.46</v>
      </c>
      <c r="R650" s="49">
        <v>45641</v>
      </c>
      <c r="S650" s="114" t="s">
        <v>41</v>
      </c>
      <c r="T650" s="183" t="s">
        <v>52</v>
      </c>
      <c r="U650" s="16">
        <f t="shared" ca="1" si="368"/>
        <v>-0.56712328767123288</v>
      </c>
      <c r="V650" s="11" t="str">
        <v>All</v>
      </c>
      <c r="X650">
        <f t="shared" ca="1" si="369"/>
        <v>9.0239649423859689E-2</v>
      </c>
      <c r="Z650" s="17">
        <f t="shared" ca="1" si="370"/>
        <v>46213</v>
      </c>
      <c r="AG650" s="33">
        <f t="shared" ca="1" si="371"/>
        <v>8.2289235332851679E-2</v>
      </c>
      <c r="AH650">
        <f t="shared" ca="1" si="372"/>
        <v>7.7544870720376538E-2</v>
      </c>
      <c r="AI650">
        <f t="shared" ca="1" si="373"/>
        <v>7.6651491892306189E-2</v>
      </c>
      <c r="AJ650">
        <f t="shared" ca="1" si="374"/>
        <v>7.5991474315137184E-2</v>
      </c>
      <c r="AK650">
        <f t="shared" ca="1" si="375"/>
        <v>7.5264741526109444E-2</v>
      </c>
    </row>
    <row r="651" spans="1:37" ht="17.25" customHeight="1">
      <c r="A651" s="19"/>
      <c r="B651" s="45" t="s">
        <v>503</v>
      </c>
      <c r="C651" s="28" t="s">
        <v>35</v>
      </c>
      <c r="D651" s="28" t="s">
        <v>35</v>
      </c>
      <c r="E651" s="28" t="s">
        <v>67</v>
      </c>
      <c r="F651" s="36" t="s">
        <v>29</v>
      </c>
      <c r="G651" s="28" t="s">
        <v>38</v>
      </c>
      <c r="H651" s="83" t="str">
        <f>HYPERLINK("https://innovativeincomeinvestor.com/security/triton-international-ltd-6-875-series-d-cumulative-redeeable-perpetual-prference-shares/","TRTN-D")</f>
        <v>TRTN-D</v>
      </c>
      <c r="I651" s="47">
        <v>6.8750000000000006E-2</v>
      </c>
      <c r="J651" s="114">
        <f ca="1">IFERROR(__xludf.DUMMYFUNCTION("GoogleFinance(H651)"),23.36)</f>
        <v>23.36</v>
      </c>
      <c r="K651" s="57">
        <f ca="1">IFERROR(__xludf.DUMMYFUNCTION("googlefinance(H651,""change"")"),0.01)</f>
        <v>0.01</v>
      </c>
      <c r="L651" s="58">
        <f t="shared" ca="1" si="376"/>
        <v>7.3630136986301373E-2</v>
      </c>
      <c r="M651" s="58">
        <f t="shared" ca="1" si="367"/>
        <v>-0.22825156176572958</v>
      </c>
      <c r="N651" s="59" t="s">
        <v>31</v>
      </c>
      <c r="O651" s="28" t="s">
        <v>69</v>
      </c>
      <c r="P651" s="28" t="s">
        <v>32</v>
      </c>
      <c r="Q651" s="60">
        <v>0.43</v>
      </c>
      <c r="R651" s="64">
        <v>45731</v>
      </c>
      <c r="S651" s="54" t="s">
        <v>41</v>
      </c>
      <c r="T651" s="62" t="s">
        <v>52</v>
      </c>
      <c r="U651" s="16">
        <f t="shared" ca="1" si="368"/>
        <v>-0.32054794520547947</v>
      </c>
      <c r="V651" s="11" t="str">
        <v>All</v>
      </c>
      <c r="X651">
        <f t="shared" ca="1" si="369"/>
        <v>0.14019705378617217</v>
      </c>
      <c r="Z651" s="17">
        <f t="shared" ca="1" si="370"/>
        <v>46213</v>
      </c>
      <c r="AG651" s="33">
        <f t="shared" ca="1" si="371"/>
        <v>0.10556358795252439</v>
      </c>
      <c r="AH651">
        <f t="shared" ca="1" si="372"/>
        <v>8.4998464798853507E-2</v>
      </c>
      <c r="AI651">
        <f t="shared" ca="1" si="373"/>
        <v>8.1131959373284671E-2</v>
      </c>
      <c r="AJ651">
        <f t="shared" ca="1" si="374"/>
        <v>7.8272712814513534E-2</v>
      </c>
      <c r="AK651">
        <f t="shared" ca="1" si="375"/>
        <v>7.5115326750805442E-2</v>
      </c>
    </row>
    <row r="652" spans="1:37" ht="17.25" customHeight="1">
      <c r="A652" s="19"/>
      <c r="B652" s="45" t="s">
        <v>503</v>
      </c>
      <c r="C652" s="28" t="s">
        <v>35</v>
      </c>
      <c r="D652" s="28" t="s">
        <v>35</v>
      </c>
      <c r="E652" s="28" t="s">
        <v>67</v>
      </c>
      <c r="F652" s="36" t="s">
        <v>29</v>
      </c>
      <c r="G652" s="28" t="s">
        <v>38</v>
      </c>
      <c r="H652" s="46" t="str">
        <f>HYPERLINK("https://innovativeincomeinvestor.com/security/triton-international-limited-5-75-series-e-cumulative-redeemable-perpetual-preferred-stock/","TRTN-E")</f>
        <v>TRTN-E</v>
      </c>
      <c r="I652" s="47">
        <v>5.7500000000000002E-2</v>
      </c>
      <c r="J652" s="114">
        <f ca="1">IFERROR(__xludf.DUMMYFUNCTION("GoogleFinance(H652)"),19.59)</f>
        <v>19.59</v>
      </c>
      <c r="K652" s="57">
        <f ca="1">IFERROR(__xludf.DUMMYFUNCTION("googlefinance(H652,""change"")"),-0.02)</f>
        <v>-0.02</v>
      </c>
      <c r="L652" s="58">
        <f t="shared" ca="1" si="376"/>
        <v>7.3379275140377745E-2</v>
      </c>
      <c r="M652" s="58">
        <f t="shared" ca="1" si="367"/>
        <v>0.26968685847157448</v>
      </c>
      <c r="N652" s="59" t="s">
        <v>31</v>
      </c>
      <c r="O652" s="28" t="s">
        <v>69</v>
      </c>
      <c r="P652" s="28" t="s">
        <v>32</v>
      </c>
      <c r="Q652" s="29">
        <f>(I652*25)/4</f>
        <v>0.359375</v>
      </c>
      <c r="R652" s="82">
        <v>46280</v>
      </c>
      <c r="S652" s="54" t="s">
        <v>41</v>
      </c>
      <c r="T652" s="62" t="s">
        <v>52</v>
      </c>
      <c r="U652" s="16">
        <f t="shared" ca="1" si="368"/>
        <v>1.1835616438356165</v>
      </c>
      <c r="V652" s="11" t="str">
        <v>All</v>
      </c>
      <c r="X652">
        <f t="shared" ca="1" si="369"/>
        <v>0.31864572338303182</v>
      </c>
      <c r="Z652" s="17">
        <f t="shared" ca="1" si="370"/>
        <v>46213</v>
      </c>
      <c r="AG652" s="33">
        <f t="shared" ca="1" si="371"/>
        <v>0.19008897747648693</v>
      </c>
      <c r="AH652">
        <f t="shared" ca="1" si="372"/>
        <v>0.11504012525669453</v>
      </c>
      <c r="AI652">
        <f t="shared" ca="1" si="373"/>
        <v>0.10101825146777041</v>
      </c>
      <c r="AJ652">
        <f t="shared" ca="1" si="374"/>
        <v>9.0649473623872504E-2</v>
      </c>
      <c r="AK652">
        <f t="shared" ca="1" si="375"/>
        <v>7.9146470886342996E-2</v>
      </c>
    </row>
    <row r="653" spans="1:37" ht="17.25" customHeight="1">
      <c r="A653" s="19"/>
      <c r="B653" s="45" t="s">
        <v>503</v>
      </c>
      <c r="C653" s="28" t="s">
        <v>35</v>
      </c>
      <c r="D653" s="28" t="s">
        <v>35</v>
      </c>
      <c r="E653" s="28" t="s">
        <v>67</v>
      </c>
      <c r="F653" s="36" t="s">
        <v>29</v>
      </c>
      <c r="G653" s="28" t="s">
        <v>38</v>
      </c>
      <c r="H653" s="51" t="str">
        <f>HYPERLINK("https://innovativeincomeinvestor.com/security/triton-7-625-series-f-cumulative-redeemable-perpetual-preference-shares/","TRTN-F")</f>
        <v>TRTN-F</v>
      </c>
      <c r="I653" s="47">
        <v>7.6249999999999998E-2</v>
      </c>
      <c r="J653" s="56">
        <f ca="1">IFERROR(__xludf.DUMMYFUNCTION("importxml(""https://bigcharts.marketwatch.com/quickchart/quickchart.asp?symb=trtnprF&amp;insttype=Stock"",""/html/body/div[1]/div[2]/table/tbody/tr/td[1]/table/tbody/tr[3]/td[1]/div"")"),24.23)</f>
        <v>24.23</v>
      </c>
      <c r="K653" s="57">
        <f ca="1">IFERROR(__xludf.DUMMYFUNCTION("googlefinance(H653,""change"")"),0.07)</f>
        <v>7.0000000000000007E-2</v>
      </c>
      <c r="L653" s="58">
        <f t="shared" ca="1" si="376"/>
        <v>7.8679323153115974E-2</v>
      </c>
      <c r="M653" s="58"/>
      <c r="N653" s="28" t="s">
        <v>31</v>
      </c>
      <c r="O653" s="28" t="s">
        <v>69</v>
      </c>
      <c r="P653" s="28" t="s">
        <v>32</v>
      </c>
      <c r="Q653" s="29">
        <v>0.47660000000000002</v>
      </c>
      <c r="R653" s="82">
        <v>47557</v>
      </c>
      <c r="S653" s="54" t="s">
        <v>41</v>
      </c>
      <c r="T653" s="62" t="s">
        <v>52</v>
      </c>
      <c r="U653" s="16"/>
      <c r="V653" s="11" t="str">
        <v>All</v>
      </c>
      <c r="X653">
        <f t="shared" ca="1" si="369"/>
        <v>0.10918000802837316</v>
      </c>
      <c r="Z653" s="17">
        <f t="shared" ca="1" si="370"/>
        <v>46213</v>
      </c>
      <c r="AG653" s="33">
        <f t="shared" ca="1" si="371"/>
        <v>9.331006287273183E-2</v>
      </c>
      <c r="AH653">
        <f t="shared" ca="1" si="372"/>
        <v>8.3857688546974438E-2</v>
      </c>
      <c r="AI653">
        <f t="shared" ca="1" si="373"/>
        <v>8.2080859934738459E-2</v>
      </c>
      <c r="AJ653">
        <f t="shared" ca="1" si="374"/>
        <v>8.0769919195658443E-2</v>
      </c>
      <c r="AK653">
        <f t="shared" ca="1" si="375"/>
        <v>7.9334366559051392E-2</v>
      </c>
    </row>
    <row r="654" spans="1:37" ht="17.25" customHeight="1">
      <c r="A654" s="19"/>
      <c r="B654" s="45" t="s">
        <v>504</v>
      </c>
      <c r="C654" s="28" t="s">
        <v>27</v>
      </c>
      <c r="D654" s="28" t="s">
        <v>35</v>
      </c>
      <c r="E654" s="28" t="s">
        <v>110</v>
      </c>
      <c r="F654" s="36" t="s">
        <v>29</v>
      </c>
      <c r="G654" s="28" t="s">
        <v>38</v>
      </c>
      <c r="H654" s="46" t="str">
        <f>HYPERLINK("https://innovativeincomeinvestor.com/security/triumph-bancorp-7-125-series-c-fixed-rate-non-cumulative-perpetual-preferred-stock/","TFINP")</f>
        <v>TFINP</v>
      </c>
      <c r="I654" s="47">
        <v>7.1249999999999994E-2</v>
      </c>
      <c r="J654" s="114">
        <f ca="1">IFERROR(__xludf.DUMMYFUNCTION("GoogleFinance(H654)"),22.2)</f>
        <v>22.2</v>
      </c>
      <c r="K654" s="57">
        <f ca="1">IFERROR(__xludf.DUMMYFUNCTION("googlefinance(H654,""change"")"),0.2)</f>
        <v>0.2</v>
      </c>
      <c r="L654" s="58">
        <f t="shared" ca="1" si="376"/>
        <v>8.0234234234234231E-2</v>
      </c>
      <c r="M654" s="58">
        <f t="shared" ref="M654:M655" ca="1" si="378">L654*U654+(25-J654)/25/U654</f>
        <v>-4.0901981981981992</v>
      </c>
      <c r="N654" s="28" t="s">
        <v>31</v>
      </c>
      <c r="O654" s="28" t="s">
        <v>32</v>
      </c>
      <c r="P654" s="28" t="s">
        <v>32</v>
      </c>
      <c r="Q654" s="29">
        <v>0.44529999999999997</v>
      </c>
      <c r="R654" s="82">
        <v>45838</v>
      </c>
      <c r="S654" s="54" t="s">
        <v>41</v>
      </c>
      <c r="T654" s="62" t="s">
        <v>42</v>
      </c>
      <c r="U654" s="16">
        <f t="shared" ref="U654:U661" ca="1" si="379">(R654-TODAY())/365</f>
        <v>-2.7397260273972601E-2</v>
      </c>
      <c r="V654" s="11" t="str">
        <v>All</v>
      </c>
      <c r="X654">
        <f t="shared" ca="1" si="369"/>
        <v>0.19740064132057331</v>
      </c>
      <c r="Z654" s="17">
        <f t="shared" ca="1" si="370"/>
        <v>46213</v>
      </c>
      <c r="AG654" s="33">
        <f t="shared" ca="1" si="371"/>
        <v>0.13616286270266431</v>
      </c>
      <c r="AH654">
        <f t="shared" ca="1" si="372"/>
        <v>9.9999623736696769E-2</v>
      </c>
      <c r="AI654">
        <f t="shared" ca="1" si="373"/>
        <v>9.3225341060117942E-2</v>
      </c>
      <c r="AJ654">
        <f t="shared" ca="1" si="374"/>
        <v>8.8228838766304191E-2</v>
      </c>
      <c r="AK654">
        <f t="shared" ca="1" si="375"/>
        <v>8.2756425074600057E-2</v>
      </c>
    </row>
    <row r="655" spans="1:37" ht="17.25" customHeight="1">
      <c r="A655" s="19"/>
      <c r="B655" s="84" t="s">
        <v>505</v>
      </c>
      <c r="C655" s="36" t="s">
        <v>27</v>
      </c>
      <c r="D655" s="28" t="s">
        <v>35</v>
      </c>
      <c r="E655" s="36" t="s">
        <v>110</v>
      </c>
      <c r="F655" s="36" t="s">
        <v>29</v>
      </c>
      <c r="G655" s="28" t="s">
        <v>38</v>
      </c>
      <c r="H655" s="83" t="str">
        <f>HYPERLINK("https://innovativeincomeinvestor.com/security/truist-financial-4-75-series-r-non-cumulative-perpetual-preferred-stock/","TFC-R")</f>
        <v>TFC-R</v>
      </c>
      <c r="I655" s="47">
        <v>4.7500000000000001E-2</v>
      </c>
      <c r="J655" s="65">
        <f ca="1">IFERROR(__xludf.DUMMYFUNCTION("GoogleFinance(H655)"),19.25)</f>
        <v>19.25</v>
      </c>
      <c r="K655" s="48">
        <f ca="1">IFERROR(__xludf.DUMMYFUNCTION("googlefinance(H655,""change"")"),-0.04)</f>
        <v>-0.04</v>
      </c>
      <c r="L655" s="27">
        <f t="shared" ca="1" si="376"/>
        <v>6.1688311688311688E-2</v>
      </c>
      <c r="M655" s="27">
        <f t="shared" ca="1" si="378"/>
        <v>1.5929197450262327</v>
      </c>
      <c r="N655" s="28" t="s">
        <v>39</v>
      </c>
      <c r="O655" s="28" t="s">
        <v>55</v>
      </c>
      <c r="P655" s="28" t="s">
        <v>76</v>
      </c>
      <c r="Q655" s="29">
        <f>(I655*25)/4</f>
        <v>0.296875</v>
      </c>
      <c r="R655" s="64">
        <v>45901</v>
      </c>
      <c r="S655" s="54" t="s">
        <v>41</v>
      </c>
      <c r="T655" s="62" t="s">
        <v>506</v>
      </c>
      <c r="U655" s="16">
        <f t="shared" ca="1" si="379"/>
        <v>0.14520547945205478</v>
      </c>
      <c r="V655" s="11" t="str">
        <v>All</v>
      </c>
      <c r="X655">
        <f t="shared" ca="1" si="369"/>
        <v>0.326230856955465</v>
      </c>
      <c r="Z655" s="17">
        <f t="shared" ca="1" si="370"/>
        <v>46213</v>
      </c>
      <c r="AG655" s="33">
        <f t="shared" ca="1" si="371"/>
        <v>0.18814332060947417</v>
      </c>
      <c r="AH655">
        <f t="shared" ca="1" si="372"/>
        <v>0.10760534191442488</v>
      </c>
      <c r="AI655">
        <f t="shared" ca="1" si="373"/>
        <v>9.2529481852290651E-2</v>
      </c>
      <c r="AJ655">
        <f t="shared" ca="1" si="374"/>
        <v>8.1341230192374617E-2</v>
      </c>
      <c r="AK655">
        <f t="shared" ca="1" si="375"/>
        <v>6.8755256719526731E-2</v>
      </c>
    </row>
    <row r="656" spans="1:37" ht="17.25" customHeight="1">
      <c r="A656" s="19"/>
      <c r="B656" s="45" t="s">
        <v>507</v>
      </c>
      <c r="C656" s="28" t="s">
        <v>27</v>
      </c>
      <c r="D656" s="28" t="s">
        <v>35</v>
      </c>
      <c r="E656" s="28" t="s">
        <v>110</v>
      </c>
      <c r="F656" s="28" t="s">
        <v>138</v>
      </c>
      <c r="G656" s="28" t="s">
        <v>38</v>
      </c>
      <c r="H656" s="51" t="str">
        <f>HYPERLINK("https://innovativeincomeinvestor.com/security/sunstone-hotel-investors-6-45-series-f-cumulative-redeemable-preferred-stock/","TFC-I")</f>
        <v>TFC-I</v>
      </c>
      <c r="I656" s="47">
        <v>0.04</v>
      </c>
      <c r="J656" s="65">
        <f ca="1">IFERROR(__xludf.DUMMYFUNCTION("GoogleFinance(H656)"),20.5)</f>
        <v>20.5</v>
      </c>
      <c r="K656" s="67">
        <f ca="1">IFERROR(__xludf.DUMMYFUNCTION("googlefinance(H656,""change"")"),-0.13)</f>
        <v>-0.13</v>
      </c>
      <c r="L656" s="52" t="s">
        <v>47</v>
      </c>
      <c r="M656" s="27">
        <f ca="1">(25-J656)/25</f>
        <v>0.18</v>
      </c>
      <c r="N656" s="28" t="s">
        <v>39</v>
      </c>
      <c r="O656" s="28" t="s">
        <v>69</v>
      </c>
      <c r="P656" s="28" t="s">
        <v>76</v>
      </c>
      <c r="Q656" s="52" t="s">
        <v>47</v>
      </c>
      <c r="R656" s="64">
        <v>40801</v>
      </c>
      <c r="S656" s="54" t="s">
        <v>41</v>
      </c>
      <c r="T656" s="62" t="s">
        <v>52</v>
      </c>
      <c r="U656" s="16">
        <f t="shared" ca="1" si="379"/>
        <v>-13.827397260273973</v>
      </c>
      <c r="V656" s="11" t="str">
        <v>All</v>
      </c>
      <c r="X656">
        <f t="shared" ca="1" si="369"/>
        <v>0.24883816816084198</v>
      </c>
      <c r="Z656" s="17">
        <f t="shared" ca="1" si="370"/>
        <v>46213</v>
      </c>
      <c r="AG656" s="33">
        <f t="shared" ca="1" si="371"/>
        <v>0.14532604583614006</v>
      </c>
      <c r="AH656">
        <f t="shared" ca="1" si="372"/>
        <v>8.4535801098682278E-2</v>
      </c>
      <c r="AI656">
        <f t="shared" ca="1" si="373"/>
        <v>7.3101121654166462E-2</v>
      </c>
      <c r="AJ656">
        <f t="shared" ca="1" si="374"/>
        <v>6.4583391310588351E-2</v>
      </c>
      <c r="AK656">
        <f t="shared" ca="1" si="375"/>
        <v>5.4887213254967114E-2</v>
      </c>
    </row>
    <row r="657" spans="1:37" ht="17.25" customHeight="1">
      <c r="A657" s="19"/>
      <c r="B657" s="45" t="s">
        <v>508</v>
      </c>
      <c r="C657" s="36" t="s">
        <v>35</v>
      </c>
      <c r="D657" s="28" t="s">
        <v>35</v>
      </c>
      <c r="E657" s="28" t="s">
        <v>119</v>
      </c>
      <c r="F657" s="36" t="s">
        <v>29</v>
      </c>
      <c r="G657" s="28" t="s">
        <v>38</v>
      </c>
      <c r="H657" s="51" t="str">
        <f>HYPERLINK("https://innovativeincomeinvestor.com/security/tsakos-energy-navigation-ltd-9-50-series-f-fixed-to-floating-rate-cumulative-redeemable-perpetual-preferred-stock/","TEN-F")</f>
        <v>TEN-F</v>
      </c>
      <c r="I657" s="47">
        <v>9.5000000000000001E-2</v>
      </c>
      <c r="J657" s="65">
        <f ca="1">IFERROR(__xludf.DUMMYFUNCTION("GoogleFinance(H657)"),26.79)</f>
        <v>26.79</v>
      </c>
      <c r="K657" s="67">
        <f ca="1">IFERROR(__xludf.DUMMYFUNCTION("googlefinance(H657,""change"")"),-0.04)</f>
        <v>-0.04</v>
      </c>
      <c r="L657" s="27">
        <f t="shared" ref="L657:L660" ca="1" si="380">(Q657*4)/J657</f>
        <v>8.8652482269503549E-2</v>
      </c>
      <c r="M657" s="27">
        <f t="shared" ref="M657:M663" ca="1" si="381">L657*U657+(25-J657)/25/U657</f>
        <v>0.24764043785890613</v>
      </c>
      <c r="N657" s="28" t="s">
        <v>31</v>
      </c>
      <c r="O657" s="27" t="s">
        <v>32</v>
      </c>
      <c r="P657" s="27" t="s">
        <v>32</v>
      </c>
      <c r="Q657" s="29">
        <f t="shared" ref="Q657:Q660" si="382">(I657*25)/4</f>
        <v>0.59375</v>
      </c>
      <c r="R657" s="53">
        <v>46964</v>
      </c>
      <c r="S657" s="54" t="s">
        <v>41</v>
      </c>
      <c r="T657" s="62" t="s">
        <v>45</v>
      </c>
      <c r="U657" s="16">
        <f t="shared" ca="1" si="379"/>
        <v>3.0575342465753423</v>
      </c>
      <c r="V657" s="11" t="str">
        <v>All</v>
      </c>
      <c r="X657">
        <f t="shared" ca="1" si="369"/>
        <v>2.2395025006645246E-2</v>
      </c>
      <c r="Z657" s="17">
        <f t="shared" ca="1" si="370"/>
        <v>46213</v>
      </c>
      <c r="AG657" s="33">
        <f t="shared" ca="1" si="371"/>
        <v>5.6871771056767925E-2</v>
      </c>
      <c r="AH657">
        <f t="shared" ca="1" si="372"/>
        <v>7.7578334210620575E-2</v>
      </c>
      <c r="AI657">
        <f t="shared" ca="1" si="373"/>
        <v>8.1469067582527824E-2</v>
      </c>
      <c r="AJ657">
        <f t="shared" ca="1" si="374"/>
        <v>8.4326234754851057E-2</v>
      </c>
      <c r="AK657">
        <f t="shared" ca="1" si="375"/>
        <v>8.7389505181455218E-2</v>
      </c>
    </row>
    <row r="658" spans="1:37" ht="17.25" customHeight="1">
      <c r="A658" s="19"/>
      <c r="B658" s="45" t="s">
        <v>508</v>
      </c>
      <c r="C658" s="36" t="s">
        <v>35</v>
      </c>
      <c r="D658" s="28" t="s">
        <v>35</v>
      </c>
      <c r="E658" s="36" t="s">
        <v>119</v>
      </c>
      <c r="F658" s="28" t="s">
        <v>46</v>
      </c>
      <c r="G658" s="28" t="s">
        <v>38</v>
      </c>
      <c r="H658" s="63" t="str">
        <f>HYPERLINK("https://innovativeincomeinvestor.com/security/tsakos-energy-navigation-9-25/","TEN-E")</f>
        <v>TEN-E</v>
      </c>
      <c r="I658" s="47">
        <v>9.2499999999999999E-2</v>
      </c>
      <c r="J658" s="65">
        <f ca="1">IFERROR(__xludf.DUMMYFUNCTION("GoogleFinance(H658)"),26.02)</f>
        <v>26.02</v>
      </c>
      <c r="K658" s="48">
        <f ca="1">IFERROR(__xludf.DUMMYFUNCTION("googlefinance(H658,""change"")"),0.01)</f>
        <v>0.01</v>
      </c>
      <c r="L658" s="27">
        <f t="shared" ca="1" si="380"/>
        <v>8.887394312067641E-2</v>
      </c>
      <c r="M658" s="27">
        <f t="shared" ca="1" si="381"/>
        <v>0.14560094937577525</v>
      </c>
      <c r="N658" s="28" t="s">
        <v>31</v>
      </c>
      <c r="O658" s="27" t="s">
        <v>32</v>
      </c>
      <c r="P658" s="27" t="s">
        <v>32</v>
      </c>
      <c r="Q658" s="29">
        <f t="shared" si="382"/>
        <v>0.578125</v>
      </c>
      <c r="R658" s="64">
        <v>46535</v>
      </c>
      <c r="S658" s="54" t="s">
        <v>41</v>
      </c>
      <c r="T658" s="62" t="s">
        <v>139</v>
      </c>
      <c r="U658" s="16">
        <f t="shared" ca="1" si="379"/>
        <v>1.8821917808219177</v>
      </c>
      <c r="V658" s="11" t="str">
        <v>All</v>
      </c>
      <c r="X658">
        <f t="shared" ca="1" si="369"/>
        <v>5.0406584189994108E-2</v>
      </c>
      <c r="Z658" s="17">
        <f t="shared" ca="1" si="370"/>
        <v>46213</v>
      </c>
      <c r="AG658" s="33">
        <f t="shared" ca="1" si="371"/>
        <v>7.0450244274896295E-2</v>
      </c>
      <c r="AH658">
        <f t="shared" ca="1" si="372"/>
        <v>8.2454859210377582E-2</v>
      </c>
      <c r="AI658">
        <f t="shared" ca="1" si="373"/>
        <v>8.4708298491222953E-2</v>
      </c>
      <c r="AJ658">
        <f t="shared" ca="1" si="374"/>
        <v>8.6363440790505439E-2</v>
      </c>
      <c r="AK658">
        <f t="shared" ca="1" si="375"/>
        <v>8.8139210788746855E-2</v>
      </c>
    </row>
    <row r="659" spans="1:37" ht="17.25" customHeight="1">
      <c r="A659" s="19"/>
      <c r="B659" s="45" t="s">
        <v>509</v>
      </c>
      <c r="C659" s="36" t="s">
        <v>35</v>
      </c>
      <c r="D659" s="36" t="s">
        <v>27</v>
      </c>
      <c r="E659" s="36" t="s">
        <v>44</v>
      </c>
      <c r="F659" s="28" t="s">
        <v>46</v>
      </c>
      <c r="G659" s="28" t="s">
        <v>38</v>
      </c>
      <c r="H659" s="94" t="str">
        <f>HYPERLINK("https://innovativeincomeinvestor.com/security/two-harbors-investment-8-125-series-a-fixed-to-floating-rate-cumulative-redeemable-preferred-stock/","TWO-A")</f>
        <v>TWO-A</v>
      </c>
      <c r="I659" s="47">
        <v>8.1250000000000003E-2</v>
      </c>
      <c r="J659" s="65">
        <f ca="1">IFERROR(__xludf.DUMMYFUNCTION("GoogleFinance(H659)"),23.38)</f>
        <v>23.38</v>
      </c>
      <c r="K659" s="98">
        <f ca="1">IFERROR(__xludf.DUMMYFUNCTION("googlefinance(H659,""change"")"),0.07)</f>
        <v>7.0000000000000007E-2</v>
      </c>
      <c r="L659" s="27">
        <f t="shared" ca="1" si="380"/>
        <v>8.6879811804961515E-2</v>
      </c>
      <c r="M659" s="27">
        <f t="shared" ca="1" si="381"/>
        <v>0.19201753114973805</v>
      </c>
      <c r="N659" s="28" t="s">
        <v>31</v>
      </c>
      <c r="O659" s="27" t="s">
        <v>32</v>
      </c>
      <c r="P659" s="27" t="s">
        <v>32</v>
      </c>
      <c r="Q659" s="29">
        <f t="shared" si="382"/>
        <v>0.5078125</v>
      </c>
      <c r="R659" s="64">
        <v>46503</v>
      </c>
      <c r="S659" s="54" t="s">
        <v>41</v>
      </c>
      <c r="T659" s="62" t="s">
        <v>510</v>
      </c>
      <c r="U659" s="16">
        <f t="shared" ca="1" si="379"/>
        <v>1.7945205479452055</v>
      </c>
      <c r="V659" s="11" t="str">
        <v>All</v>
      </c>
      <c r="X659">
        <f t="shared" ca="1" si="369"/>
        <v>0.1523348123179912</v>
      </c>
      <c r="Z659" s="17">
        <f t="shared" ca="1" si="370"/>
        <v>46213</v>
      </c>
      <c r="AG659" s="33">
        <f t="shared" ca="1" si="371"/>
        <v>0.11810077497622215</v>
      </c>
      <c r="AH659">
        <f t="shared" ca="1" si="372"/>
        <v>9.7797024685353603E-2</v>
      </c>
      <c r="AI659">
        <f t="shared" ca="1" si="373"/>
        <v>9.3994897100664471E-2</v>
      </c>
      <c r="AJ659">
        <f t="shared" ca="1" si="374"/>
        <v>9.1199282072469273E-2</v>
      </c>
      <c r="AK659">
        <f t="shared" ca="1" si="375"/>
        <v>8.8174229449977465E-2</v>
      </c>
    </row>
    <row r="660" spans="1:37" ht="17.25" customHeight="1">
      <c r="A660" s="19"/>
      <c r="B660" s="45" t="s">
        <v>509</v>
      </c>
      <c r="C660" s="36" t="s">
        <v>35</v>
      </c>
      <c r="D660" s="36" t="s">
        <v>27</v>
      </c>
      <c r="E660" s="28" t="s">
        <v>44</v>
      </c>
      <c r="F660" s="28" t="s">
        <v>46</v>
      </c>
      <c r="G660" s="28" t="s">
        <v>38</v>
      </c>
      <c r="H660" s="66" t="str">
        <f>HYPERLINK("https://innovativeincomeinvestor.com/security/two-harbors-investment-7-625-series-b-fixed-to-floating-rate-cumulative-redeemable-preferred-stock/","TWO-B")</f>
        <v>TWO-B</v>
      </c>
      <c r="I660" s="47">
        <v>7.6249999999999998E-2</v>
      </c>
      <c r="J660" s="65">
        <f ca="1">IFERROR(__xludf.DUMMYFUNCTION("GoogleFinance(H660)"),22.95)</f>
        <v>22.95</v>
      </c>
      <c r="K660" s="48">
        <f ca="1">IFERROR(__xludf.DUMMYFUNCTION("googlefinance(H660,""change"")"),-0.06)</f>
        <v>-0.06</v>
      </c>
      <c r="L660" s="27">
        <f t="shared" ca="1" si="380"/>
        <v>8.3061002178649243E-2</v>
      </c>
      <c r="M660" s="27">
        <f t="shared" ca="1" si="381"/>
        <v>0.21005753338360159</v>
      </c>
      <c r="N660" s="28" t="s">
        <v>31</v>
      </c>
      <c r="O660" s="27" t="s">
        <v>32</v>
      </c>
      <c r="P660" s="27" t="s">
        <v>32</v>
      </c>
      <c r="Q660" s="29">
        <f t="shared" si="382"/>
        <v>0.4765625</v>
      </c>
      <c r="R660" s="64">
        <v>46595</v>
      </c>
      <c r="S660" s="54" t="s">
        <v>41</v>
      </c>
      <c r="T660" s="62" t="s">
        <v>510</v>
      </c>
      <c r="U660" s="16">
        <f t="shared" ca="1" si="379"/>
        <v>2.0465753424657533</v>
      </c>
      <c r="V660" s="11" t="str">
        <v>All</v>
      </c>
      <c r="X660">
        <f t="shared" ca="1" si="369"/>
        <v>0.16698278403529718</v>
      </c>
      <c r="Z660" s="17">
        <f t="shared" ca="1" si="370"/>
        <v>46213</v>
      </c>
      <c r="AG660" s="33">
        <f t="shared" ca="1" si="371"/>
        <v>0.12313006101475568</v>
      </c>
      <c r="AH660">
        <f t="shared" ca="1" si="372"/>
        <v>9.7157704399863043E-2</v>
      </c>
      <c r="AI660">
        <f t="shared" ca="1" si="373"/>
        <v>9.2291111464342893E-2</v>
      </c>
      <c r="AJ660">
        <f t="shared" ca="1" si="374"/>
        <v>8.8706312822526764E-2</v>
      </c>
      <c r="AK660">
        <f t="shared" ca="1" si="375"/>
        <v>8.480108501102214E-2</v>
      </c>
    </row>
    <row r="661" spans="1:37" ht="17.25" customHeight="1">
      <c r="A661" s="19"/>
      <c r="B661" s="45" t="s">
        <v>509</v>
      </c>
      <c r="C661" s="36" t="s">
        <v>35</v>
      </c>
      <c r="D661" s="36" t="s">
        <v>27</v>
      </c>
      <c r="E661" s="36" t="s">
        <v>44</v>
      </c>
      <c r="F661" s="28" t="s">
        <v>46</v>
      </c>
      <c r="G661" s="28" t="s">
        <v>38</v>
      </c>
      <c r="H661" s="63" t="str">
        <f>HYPERLINK("https://innovativeincomeinvestor.com/security/two-harbors-investment-corp-7-25-series-c-fixed-to-floating-cumulative-redeemable-preferred-stock/","TWO-C")</f>
        <v>TWO-C</v>
      </c>
      <c r="I661" s="47">
        <v>7.2499999999999995E-2</v>
      </c>
      <c r="J661" s="65">
        <f ca="1">IFERROR(__xludf.DUMMYFUNCTION("GoogleFinance(H661)"),24.32)</f>
        <v>24.32</v>
      </c>
      <c r="K661" s="48">
        <f ca="1">IFERROR(__xludf.DUMMYFUNCTION("googlefinance(H661,""change"")"),-0.03)</f>
        <v>-0.03</v>
      </c>
      <c r="L661" s="52" t="s">
        <v>47</v>
      </c>
      <c r="M661" s="27" t="e">
        <f t="shared" ca="1" si="381"/>
        <v>#VALUE!</v>
      </c>
      <c r="N661" s="28" t="s">
        <v>31</v>
      </c>
      <c r="O661" s="27" t="s">
        <v>32</v>
      </c>
      <c r="P661" s="27" t="s">
        <v>32</v>
      </c>
      <c r="Q661" s="52" t="s">
        <v>47</v>
      </c>
      <c r="R661" s="53">
        <v>45684</v>
      </c>
      <c r="S661" s="54" t="s">
        <v>41</v>
      </c>
      <c r="T661" s="62" t="s">
        <v>510</v>
      </c>
      <c r="U661" s="16">
        <f t="shared" ca="1" si="379"/>
        <v>-0.44931506849315067</v>
      </c>
      <c r="V661" s="11" t="str">
        <v>All</v>
      </c>
      <c r="X661">
        <f t="shared" ca="1" si="369"/>
        <v>0.1014461775352186</v>
      </c>
      <c r="Z661" s="17">
        <f t="shared" ca="1" si="370"/>
        <v>46213</v>
      </c>
      <c r="AG661" s="33">
        <f t="shared" ca="1" si="371"/>
        <v>8.7472081982133729E-2</v>
      </c>
      <c r="AH661">
        <f t="shared" ca="1" si="372"/>
        <v>7.9142635720158047E-2</v>
      </c>
      <c r="AI661">
        <f t="shared" ca="1" si="373"/>
        <v>7.7574744130581116E-2</v>
      </c>
      <c r="AJ661">
        <f t="shared" ca="1" si="374"/>
        <v>7.6415953095196235E-2</v>
      </c>
      <c r="AK661">
        <f t="shared" ca="1" si="375"/>
        <v>7.5139240749632921E-2</v>
      </c>
    </row>
    <row r="662" spans="1:37" ht="17.25" customHeight="1">
      <c r="A662" s="19"/>
      <c r="B662" s="45" t="s">
        <v>509</v>
      </c>
      <c r="C662" s="28" t="s">
        <v>27</v>
      </c>
      <c r="D662" s="28" t="s">
        <v>27</v>
      </c>
      <c r="E662" s="28" t="s">
        <v>44</v>
      </c>
      <c r="F662" s="36" t="s">
        <v>29</v>
      </c>
      <c r="G662" s="28" t="s">
        <v>30</v>
      </c>
      <c r="H662" s="51" t="str">
        <f>HYPERLINK("https://innovativeincomeinvestor.com/security/two-harbors-investment-corp-9-375-senior-notes-due-2030/","TWOD")</f>
        <v>TWOD</v>
      </c>
      <c r="I662" s="47">
        <v>9.375E-2</v>
      </c>
      <c r="J662" s="26">
        <f ca="1">IFERROR(__xludf.DUMMYFUNCTION("GOOGLEFINANCE(H662)"),25.77)</f>
        <v>25.77</v>
      </c>
      <c r="K662" s="26">
        <f ca="1">IFERROR(__xludf.DUMMYFUNCTION("GOOGLEFINANCE(H662,""change"")"),0.02)</f>
        <v>0.02</v>
      </c>
      <c r="L662" s="27">
        <f t="shared" ref="L662:L672" ca="1" si="383">(Q662*4)/J662</f>
        <v>9.0958478851377561E-2</v>
      </c>
      <c r="M662" s="27" t="e">
        <f t="shared" ca="1" si="381"/>
        <v>#DIV/0!</v>
      </c>
      <c r="N662" s="28" t="s">
        <v>31</v>
      </c>
      <c r="O662" s="28" t="s">
        <v>32</v>
      </c>
      <c r="P662" s="28" t="s">
        <v>32</v>
      </c>
      <c r="Q662" s="26">
        <v>0.58599999999999997</v>
      </c>
      <c r="R662" s="211">
        <v>46522</v>
      </c>
      <c r="S662" s="153">
        <v>47710</v>
      </c>
      <c r="T662" s="154" t="s">
        <v>33</v>
      </c>
      <c r="U662" s="16"/>
      <c r="V662" s="11" t="str">
        <v>All</v>
      </c>
      <c r="X662">
        <f t="shared" ca="1" si="369"/>
        <v>6.1752165698299298E-2</v>
      </c>
      <c r="Z662" s="17">
        <f t="shared" ca="1" si="370"/>
        <v>46213</v>
      </c>
      <c r="AG662" s="33">
        <f t="shared" ca="1" si="371"/>
        <v>7.6986554665523343E-2</v>
      </c>
      <c r="AH662">
        <f t="shared" ca="1" si="372"/>
        <v>8.6100066045658008E-2</v>
      </c>
      <c r="AI662">
        <f t="shared" ca="1" si="373"/>
        <v>8.7808938479234239E-2</v>
      </c>
      <c r="AJ662">
        <f t="shared" ca="1" si="374"/>
        <v>8.9062989728200967E-2</v>
      </c>
      <c r="AK662">
        <f t="shared" ca="1" si="375"/>
        <v>9.0403798497302776E-2</v>
      </c>
    </row>
    <row r="663" spans="1:37" ht="17.25" customHeight="1">
      <c r="A663" s="19"/>
      <c r="B663" s="45" t="s">
        <v>511</v>
      </c>
      <c r="C663" s="28" t="s">
        <v>27</v>
      </c>
      <c r="D663" s="28" t="s">
        <v>35</v>
      </c>
      <c r="E663" s="28" t="s">
        <v>110</v>
      </c>
      <c r="F663" s="36" t="s">
        <v>61</v>
      </c>
      <c r="G663" s="28" t="s">
        <v>38</v>
      </c>
      <c r="H663" s="236" t="str">
        <f>HYPERLINK("https://innovativeincomeinvestor.com/security/heartland-financial-isa-inc-7-00-fixed-rate-reset-non-cuymulative-perpetual-preferred-stock-series-e/","UMBFP")</f>
        <v>UMBFP</v>
      </c>
      <c r="I663" s="47">
        <v>7.0000000000000007E-2</v>
      </c>
      <c r="J663" s="26">
        <f ca="1">IFERROR(__xludf.DUMMYFUNCTION("GOOGLEFINANCE(H663)"),24.98)</f>
        <v>24.98</v>
      </c>
      <c r="K663" s="26">
        <f ca="1">IFERROR(__xludf.DUMMYFUNCTION("GOOGLEFINANCE(H663,""change"")"),0.03)</f>
        <v>0.03</v>
      </c>
      <c r="L663" s="27">
        <f t="shared" ca="1" si="383"/>
        <v>7.0056044835868692E-2</v>
      </c>
      <c r="M663" s="27">
        <f t="shared" ca="1" si="381"/>
        <v>5.9359671847065455E-2</v>
      </c>
      <c r="N663" s="28" t="s">
        <v>31</v>
      </c>
      <c r="O663" s="28" t="s">
        <v>32</v>
      </c>
      <c r="P663" s="28" t="s">
        <v>32</v>
      </c>
      <c r="Q663" s="26">
        <v>0.4375</v>
      </c>
      <c r="R663" s="211">
        <v>45853</v>
      </c>
      <c r="S663" s="155" t="s">
        <v>86</v>
      </c>
      <c r="T663" s="154" t="s">
        <v>60</v>
      </c>
      <c r="U663" s="16">
        <f t="shared" ref="U663:U672" ca="1" si="384">(R663-TODAY())/365</f>
        <v>1.3698630136986301E-2</v>
      </c>
      <c r="V663" s="11" t="str">
        <v>All</v>
      </c>
      <c r="X663">
        <f t="shared" ca="1" si="369"/>
        <v>7.0835728671069187E-2</v>
      </c>
      <c r="Z663" s="17">
        <f t="shared" ca="1" si="370"/>
        <v>46213</v>
      </c>
      <c r="AG663" s="33">
        <f t="shared" ca="1" si="371"/>
        <v>7.0432339758924711E-2</v>
      </c>
      <c r="AH663">
        <f t="shared" ca="1" si="372"/>
        <v>7.0190791053192425E-2</v>
      </c>
      <c r="AI663">
        <f t="shared" ca="1" si="373"/>
        <v>7.0145099737109265E-2</v>
      </c>
      <c r="AJ663">
        <f t="shared" ca="1" si="374"/>
        <v>7.0111548356402334E-2</v>
      </c>
      <c r="AK663">
        <f t="shared" ca="1" si="375"/>
        <v>7.0073951161499295E-2</v>
      </c>
    </row>
    <row r="664" spans="1:37" ht="17.25" customHeight="1">
      <c r="A664" s="19"/>
      <c r="B664" s="45" t="s">
        <v>512</v>
      </c>
      <c r="C664" s="36" t="s">
        <v>35</v>
      </c>
      <c r="D664" s="36" t="s">
        <v>27</v>
      </c>
      <c r="E664" s="36" t="s">
        <v>63</v>
      </c>
      <c r="F664" s="36" t="s">
        <v>29</v>
      </c>
      <c r="G664" s="28" t="s">
        <v>38</v>
      </c>
      <c r="H664" s="63" t="str">
        <f>HYPERLINK("https://innovativeincomeinvestor.com/security/unh-properties-6-375-series-d-cumulative-redeemable-preferred-stock/","UMH-D")</f>
        <v>UMH-D</v>
      </c>
      <c r="I664" s="47">
        <v>6.3750000000000001E-2</v>
      </c>
      <c r="J664" s="65">
        <f ca="1">IFERROR(__xludf.DUMMYFUNCTION("GoogleFinance(H664)"),21.89)</f>
        <v>21.89</v>
      </c>
      <c r="K664" s="48">
        <f ca="1">IFERROR(__xludf.DUMMYFUNCTION("googlefinance(H664,""change"")"),-0.03)</f>
        <v>-0.03</v>
      </c>
      <c r="L664" s="27">
        <f t="shared" ca="1" si="383"/>
        <v>7.280721790772042E-2</v>
      </c>
      <c r="M664" s="200">
        <f ca="1">(25-J664)/25</f>
        <v>0.12439999999999998</v>
      </c>
      <c r="N664" s="28" t="s">
        <v>31</v>
      </c>
      <c r="O664" s="27" t="s">
        <v>32</v>
      </c>
      <c r="P664" s="27" t="s">
        <v>32</v>
      </c>
      <c r="Q664" s="29">
        <f>(I664*25)/4</f>
        <v>0.3984375</v>
      </c>
      <c r="R664" s="53">
        <v>44948</v>
      </c>
      <c r="S664" s="54" t="s">
        <v>41</v>
      </c>
      <c r="T664" s="62" t="s">
        <v>52</v>
      </c>
      <c r="U664" s="16">
        <f t="shared" ca="1" si="384"/>
        <v>-2.4657534246575343</v>
      </c>
      <c r="V664" s="11" t="str">
        <v>All</v>
      </c>
      <c r="X664">
        <f t="shared" ca="1" si="369"/>
        <v>0.20444119075226141</v>
      </c>
      <c r="Z664" s="17">
        <f t="shared" ca="1" si="370"/>
        <v>46213</v>
      </c>
      <c r="AG664" s="33">
        <f t="shared" ca="1" si="371"/>
        <v>0.13582411023972268</v>
      </c>
      <c r="AH664">
        <f t="shared" ca="1" si="372"/>
        <v>9.5332019822360239E-2</v>
      </c>
      <c r="AI664">
        <f t="shared" ca="1" si="373"/>
        <v>8.7735027323847026E-2</v>
      </c>
      <c r="AJ664">
        <f t="shared" ca="1" si="374"/>
        <v>8.2115366125411454E-2</v>
      </c>
      <c r="AK664">
        <f t="shared" ca="1" si="375"/>
        <v>7.5892913985026289E-2</v>
      </c>
    </row>
    <row r="665" spans="1:37" ht="17.25" customHeight="1">
      <c r="A665" s="68"/>
      <c r="B665" s="69" t="s">
        <v>513</v>
      </c>
      <c r="C665" s="36" t="s">
        <v>27</v>
      </c>
      <c r="D665" s="36" t="s">
        <v>35</v>
      </c>
      <c r="E665" s="28" t="s">
        <v>110</v>
      </c>
      <c r="F665" s="28" t="s">
        <v>29</v>
      </c>
      <c r="G665" s="28" t="s">
        <v>38</v>
      </c>
      <c r="H665" s="23" t="str">
        <f>HYPERLINK("https://innovativeincomeinvestor.com/security/united-community-banks-inc-6-875-non-cumulative-preferred-stock-series-i/","UCB-I")</f>
        <v>UCB-I</v>
      </c>
      <c r="I665" s="47">
        <v>6.8750000000000006E-2</v>
      </c>
      <c r="J665" s="26">
        <f ca="1">IFERROR(__xludf.DUMMYFUNCTION("GOOGLEFINANCE(H665)"),24.23)</f>
        <v>24.23</v>
      </c>
      <c r="K665" s="48">
        <f ca="1">IFERROR(__xludf.DUMMYFUNCTION("googlefinance(H665,""change"")"),0.14)</f>
        <v>0.14000000000000001</v>
      </c>
      <c r="L665" s="27">
        <f t="shared" ca="1" si="383"/>
        <v>7.0986380520016504E-2</v>
      </c>
      <c r="M665" s="27">
        <f t="shared" ref="M665:M672" ca="1" si="385">L665*U665+(25-J665)/25/U665</f>
        <v>0.18082142147431413</v>
      </c>
      <c r="N665" s="28" t="s">
        <v>31</v>
      </c>
      <c r="O665" s="27" t="s">
        <v>32</v>
      </c>
      <c r="P665" s="27" t="s">
        <v>32</v>
      </c>
      <c r="Q665" s="29">
        <v>0.43</v>
      </c>
      <c r="R665" s="53">
        <v>45915</v>
      </c>
      <c r="S665" s="54" t="s">
        <v>41</v>
      </c>
      <c r="T665" s="62" t="s">
        <v>52</v>
      </c>
      <c r="U665" s="16">
        <f t="shared" ca="1" si="384"/>
        <v>0.18356164383561643</v>
      </c>
      <c r="V665" s="11" t="str">
        <v>All</v>
      </c>
      <c r="X665">
        <f t="shared" ca="1" si="369"/>
        <v>0.10152892174063992</v>
      </c>
      <c r="Z665" s="17">
        <f t="shared" ca="1" si="370"/>
        <v>46213</v>
      </c>
      <c r="AG665" s="33">
        <f t="shared" ca="1" si="371"/>
        <v>8.5670926833484901E-2</v>
      </c>
      <c r="AH665">
        <f t="shared" ca="1" si="372"/>
        <v>7.6218937395857111E-2</v>
      </c>
      <c r="AI665">
        <f t="shared" ca="1" si="373"/>
        <v>7.4438182793745852E-2</v>
      </c>
      <c r="AJ665">
        <f t="shared" ca="1" si="374"/>
        <v>7.3120104915622278E-2</v>
      </c>
      <c r="AK665">
        <f t="shared" ca="1" si="375"/>
        <v>7.1660372874505426E-2</v>
      </c>
    </row>
    <row r="666" spans="1:37" ht="17.25" customHeight="1">
      <c r="A666" s="19"/>
      <c r="B666" s="84" t="s">
        <v>514</v>
      </c>
      <c r="C666" s="36" t="s">
        <v>27</v>
      </c>
      <c r="D666" s="36" t="s">
        <v>27</v>
      </c>
      <c r="E666" s="36" t="s">
        <v>113</v>
      </c>
      <c r="F666" s="36" t="s">
        <v>29</v>
      </c>
      <c r="G666" s="28" t="s">
        <v>30</v>
      </c>
      <c r="H666" s="46" t="str">
        <f>HYPERLINK("https://innovativeincomeinvestor.com/security/united-states-cellular-corporation-6-25-senior-notes-due-2069/","UZD")</f>
        <v>UZD</v>
      </c>
      <c r="I666" s="47">
        <v>6.25E-2</v>
      </c>
      <c r="J666" s="26">
        <f ca="1">IFERROR(__xludf.DUMMYFUNCTION("GOOGLEFINANCE(H666)"),23.81)</f>
        <v>23.81</v>
      </c>
      <c r="K666" s="26">
        <f ca="1">IFERROR(__xludf.DUMMYFUNCTION("GOOGLEFINANCE(H666,""change"")"),-0.18)</f>
        <v>-0.18</v>
      </c>
      <c r="L666" s="27">
        <f t="shared" ca="1" si="383"/>
        <v>6.551868962620748E-2</v>
      </c>
      <c r="M666" s="27">
        <f t="shared" ca="1" si="385"/>
        <v>0.3373249934949612</v>
      </c>
      <c r="N666" s="28" t="s">
        <v>31</v>
      </c>
      <c r="O666" s="28" t="s">
        <v>30</v>
      </c>
      <c r="P666" s="28" t="s">
        <v>83</v>
      </c>
      <c r="Q666" s="65">
        <v>0.39</v>
      </c>
      <c r="R666" s="64">
        <v>45901</v>
      </c>
      <c r="S666" s="64">
        <v>61972</v>
      </c>
      <c r="T666" s="62" t="s">
        <v>81</v>
      </c>
      <c r="U666" s="16">
        <f t="shared" ca="1" si="384"/>
        <v>0.14520547945205478</v>
      </c>
      <c r="V666" s="11" t="str">
        <v>All</v>
      </c>
      <c r="X666">
        <f t="shared" ca="1" si="369"/>
        <v>0.11352460566866239</v>
      </c>
      <c r="Z666" s="17">
        <f t="shared" ca="1" si="370"/>
        <v>46213</v>
      </c>
      <c r="AG666" s="33">
        <f t="shared" ca="1" si="371"/>
        <v>8.8736714283413162E-2</v>
      </c>
      <c r="AH666">
        <f t="shared" ca="1" si="372"/>
        <v>7.3980731637716568E-2</v>
      </c>
      <c r="AI666">
        <f t="shared" ca="1" si="373"/>
        <v>7.1198615503203541E-2</v>
      </c>
      <c r="AJ666">
        <f t="shared" ca="1" si="374"/>
        <v>6.9135113774752593E-2</v>
      </c>
      <c r="AK666">
        <f t="shared" ca="1" si="375"/>
        <v>6.6832820572319457E-2</v>
      </c>
    </row>
    <row r="667" spans="1:37" ht="17.25" customHeight="1">
      <c r="A667" s="19"/>
      <c r="B667" s="84" t="s">
        <v>514</v>
      </c>
      <c r="C667" s="36" t="s">
        <v>27</v>
      </c>
      <c r="D667" s="36" t="s">
        <v>27</v>
      </c>
      <c r="E667" s="36" t="s">
        <v>113</v>
      </c>
      <c r="F667" s="36" t="s">
        <v>29</v>
      </c>
      <c r="G667" s="28" t="s">
        <v>30</v>
      </c>
      <c r="H667" s="119" t="str">
        <f>HYPERLINK("https://innovativeincomeinvestor.com/security/united-states-cellular-5-50-senior-notes-due-2070/","UZE")</f>
        <v>UZE</v>
      </c>
      <c r="I667" s="47">
        <v>5.5E-2</v>
      </c>
      <c r="J667" s="26">
        <f ca="1">IFERROR(__xludf.DUMMYFUNCTION("GOOGLEFINANCE(H667)"),21.22)</f>
        <v>21.22</v>
      </c>
      <c r="K667" s="26">
        <f ca="1">IFERROR(__xludf.DUMMYFUNCTION("GOOGLEFINANCE(H667,""change"")"),0.02)</f>
        <v>0.02</v>
      </c>
      <c r="L667" s="27">
        <f t="shared" ca="1" si="383"/>
        <v>6.4797360980207358E-2</v>
      </c>
      <c r="M667" s="27">
        <f t="shared" ca="1" si="385"/>
        <v>-0.44453848189441275</v>
      </c>
      <c r="N667" s="28" t="s">
        <v>31</v>
      </c>
      <c r="O667" s="28" t="s">
        <v>30</v>
      </c>
      <c r="P667" s="28" t="s">
        <v>83</v>
      </c>
      <c r="Q667" s="29">
        <f t="shared" ref="Q667:Q670" si="386">(I667*25)/4</f>
        <v>0.34375</v>
      </c>
      <c r="R667" s="53">
        <v>45717</v>
      </c>
      <c r="S667" s="61">
        <v>62153</v>
      </c>
      <c r="T667" s="50" t="s">
        <v>81</v>
      </c>
      <c r="U667" s="16">
        <f t="shared" ca="1" si="384"/>
        <v>-0.35890410958904112</v>
      </c>
      <c r="V667" s="11" t="str">
        <v>All</v>
      </c>
      <c r="X667">
        <f t="shared" ca="1" si="369"/>
        <v>0.22838061135905474</v>
      </c>
      <c r="Z667" s="17">
        <f t="shared" ca="1" si="370"/>
        <v>46213</v>
      </c>
      <c r="AG667" s="33">
        <f t="shared" ca="1" si="371"/>
        <v>0.14328620758466371</v>
      </c>
      <c r="AH667">
        <f t="shared" ca="1" si="372"/>
        <v>9.3191403884889321E-2</v>
      </c>
      <c r="AI667">
        <f t="shared" ca="1" si="373"/>
        <v>8.37852230398934E-2</v>
      </c>
      <c r="AJ667">
        <f t="shared" ca="1" si="374"/>
        <v>7.6808388110628942E-2</v>
      </c>
      <c r="AK667">
        <f t="shared" ca="1" si="375"/>
        <v>6.8999327767498758E-2</v>
      </c>
    </row>
    <row r="668" spans="1:37" ht="17.25" customHeight="1">
      <c r="A668" s="19"/>
      <c r="B668" s="84" t="s">
        <v>514</v>
      </c>
      <c r="C668" s="36" t="s">
        <v>27</v>
      </c>
      <c r="D668" s="36" t="s">
        <v>27</v>
      </c>
      <c r="E668" s="36" t="s">
        <v>113</v>
      </c>
      <c r="F668" s="36" t="s">
        <v>29</v>
      </c>
      <c r="G668" s="28" t="s">
        <v>30</v>
      </c>
      <c r="H668" s="46" t="str">
        <f>HYPERLINK("https://innovativeincomeinvestor.com/security/united-states-cellular-corporation-5-50-senior-notes-due-2070/","UZF")</f>
        <v>UZF</v>
      </c>
      <c r="I668" s="47">
        <v>5.5E-2</v>
      </c>
      <c r="J668" s="26">
        <f ca="1">IFERROR(__xludf.DUMMYFUNCTION("GOOGLEFINANCE(H668)"),21.09)</f>
        <v>21.09</v>
      </c>
      <c r="K668" s="26">
        <f ca="1">IFERROR(__xludf.DUMMYFUNCTION("GOOGLEFINANCE(H668,""change"")"),-0.06)</f>
        <v>-0.06</v>
      </c>
      <c r="L668" s="27">
        <f t="shared" ca="1" si="383"/>
        <v>6.5196775723091516E-2</v>
      </c>
      <c r="M668" s="27">
        <f t="shared" ca="1" si="385"/>
        <v>0.2333409743402578</v>
      </c>
      <c r="N668" s="28" t="s">
        <v>31</v>
      </c>
      <c r="O668" s="28" t="s">
        <v>30</v>
      </c>
      <c r="P668" s="28" t="s">
        <v>83</v>
      </c>
      <c r="Q668" s="29">
        <f t="shared" si="386"/>
        <v>0.34375</v>
      </c>
      <c r="R668" s="53">
        <v>46174</v>
      </c>
      <c r="S668" s="61">
        <v>62245</v>
      </c>
      <c r="T668" s="50" t="s">
        <v>81</v>
      </c>
      <c r="U668" s="16">
        <f t="shared" ca="1" si="384"/>
        <v>0.89315068493150684</v>
      </c>
      <c r="V668" s="11" t="str">
        <v>All</v>
      </c>
      <c r="X668">
        <f t="shared" ca="1" si="369"/>
        <v>0.23502938102793255</v>
      </c>
      <c r="Z668" s="17">
        <f t="shared" ca="1" si="370"/>
        <v>46213</v>
      </c>
      <c r="AG668" s="33">
        <f t="shared" ca="1" si="371"/>
        <v>0.14664196999040321</v>
      </c>
      <c r="AH668">
        <f t="shared" ca="1" si="372"/>
        <v>9.4641178530456588E-2</v>
      </c>
      <c r="AI668">
        <f t="shared" ca="1" si="373"/>
        <v>8.488026340806952E-2</v>
      </c>
      <c r="AJ668">
        <f t="shared" ca="1" si="374"/>
        <v>7.7641385484774103E-2</v>
      </c>
      <c r="AK668">
        <f t="shared" ca="1" si="375"/>
        <v>6.9541957356717907E-2</v>
      </c>
    </row>
    <row r="669" spans="1:37" ht="17.25" customHeight="1">
      <c r="A669" s="19"/>
      <c r="B669" s="84" t="s">
        <v>515</v>
      </c>
      <c r="C669" s="36" t="s">
        <v>27</v>
      </c>
      <c r="D669" s="36" t="s">
        <v>35</v>
      </c>
      <c r="E669" s="36" t="s">
        <v>110</v>
      </c>
      <c r="F669" s="36" t="s">
        <v>29</v>
      </c>
      <c r="G669" s="28" t="s">
        <v>38</v>
      </c>
      <c r="H669" s="94" t="str">
        <f>HYPERLINK("https://innovativeincomeinvestor.com/security/us-bancorp-5-50-series-k-non-cumulative-perpetual-preferred-stock/","USB-P")</f>
        <v>USB-P</v>
      </c>
      <c r="I669" s="47">
        <v>5.5E-2</v>
      </c>
      <c r="J669" s="56">
        <f ca="1">IFERROR(__xludf.DUMMYFUNCTION("IMPORTXML(""https://bigcharts.marketwatch.com/quickchart/quickchart.asp?symb=USBPRP&amp;insttype=Stock"",""html/body/div[1]/div[2]/table/tbody/tr/td[1]/table/tbody/tr[3]/td[1]/div"")"),22.65)</f>
        <v>22.65</v>
      </c>
      <c r="K669" s="48">
        <f ca="1">IFERROR(__xludf.DUMMYFUNCTION("googlefinance(H669,""change"")"),-0.1)</f>
        <v>-0.1</v>
      </c>
      <c r="L669" s="27">
        <f t="shared" ca="1" si="383"/>
        <v>6.070640176600442E-2</v>
      </c>
      <c r="M669" s="27">
        <f t="shared" ca="1" si="385"/>
        <v>-0.15956290751590718</v>
      </c>
      <c r="N669" s="28" t="s">
        <v>39</v>
      </c>
      <c r="O669" s="28" t="s">
        <v>311</v>
      </c>
      <c r="P669" s="28" t="s">
        <v>76</v>
      </c>
      <c r="Q669" s="29">
        <f t="shared" si="386"/>
        <v>0.34375</v>
      </c>
      <c r="R669" s="64">
        <v>45214</v>
      </c>
      <c r="S669" s="54" t="s">
        <v>41</v>
      </c>
      <c r="T669" s="62" t="s">
        <v>60</v>
      </c>
      <c r="U669" s="16">
        <f t="shared" ca="1" si="384"/>
        <v>-1.736986301369863</v>
      </c>
      <c r="V669" s="11" t="str">
        <v>All</v>
      </c>
      <c r="X669">
        <f t="shared" ca="1" si="369"/>
        <v>0.15849225518753729</v>
      </c>
      <c r="Z669" s="17">
        <f t="shared" ca="1" si="370"/>
        <v>46213</v>
      </c>
      <c r="AG669" s="33">
        <f t="shared" ca="1" si="371"/>
        <v>0.10788118962634724</v>
      </c>
      <c r="AH669">
        <f t="shared" ca="1" si="372"/>
        <v>7.7887993477985237E-2</v>
      </c>
      <c r="AI669">
        <f t="shared" ca="1" si="373"/>
        <v>7.223705525428252E-2</v>
      </c>
      <c r="AJ669">
        <f t="shared" ca="1" si="374"/>
        <v>6.8039170329692228E-2</v>
      </c>
      <c r="AK669">
        <f t="shared" ca="1" si="375"/>
        <v>6.3323160485877772E-2</v>
      </c>
    </row>
    <row r="670" spans="1:37" ht="17.25" customHeight="1">
      <c r="A670" s="19"/>
      <c r="B670" s="45" t="s">
        <v>515</v>
      </c>
      <c r="C670" s="36" t="s">
        <v>27</v>
      </c>
      <c r="D670" s="36" t="s">
        <v>35</v>
      </c>
      <c r="E670" s="36" t="s">
        <v>110</v>
      </c>
      <c r="F670" s="28" t="s">
        <v>29</v>
      </c>
      <c r="G670" s="28" t="s">
        <v>38</v>
      </c>
      <c r="H670" s="119" t="str">
        <f>HYPERLINK("https://innovativeincomeinvestor.com/security/u-s-bancorp-3-75-non-cumulative-perpetual-preferred-stock-series-l/","USB-Q")</f>
        <v>USB-Q</v>
      </c>
      <c r="I670" s="47">
        <v>3.7499999999999999E-2</v>
      </c>
      <c r="J670" s="65">
        <f ca="1">IFERROR(__xludf.DUMMYFUNCTION("GoogleFinance(H670)"),15.35)</f>
        <v>15.35</v>
      </c>
      <c r="K670" s="48">
        <f ca="1">IFERROR(__xludf.DUMMYFUNCTION("googlefinance(H670,""change"")"),-0.08)</f>
        <v>-0.08</v>
      </c>
      <c r="L670" s="27">
        <f t="shared" ca="1" si="383"/>
        <v>6.1074918566775244E-2</v>
      </c>
      <c r="M670" s="27">
        <f t="shared" ca="1" si="385"/>
        <v>0.77707483026924373</v>
      </c>
      <c r="N670" s="28" t="s">
        <v>39</v>
      </c>
      <c r="O670" s="28" t="s">
        <v>311</v>
      </c>
      <c r="P670" s="28" t="s">
        <v>76</v>
      </c>
      <c r="Q670" s="29">
        <f t="shared" si="386"/>
        <v>0.234375</v>
      </c>
      <c r="R670" s="64">
        <v>46037</v>
      </c>
      <c r="S670" s="54" t="s">
        <v>41</v>
      </c>
      <c r="T670" s="62" t="s">
        <v>60</v>
      </c>
      <c r="U670" s="16">
        <f t="shared" ca="1" si="384"/>
        <v>0.51780821917808217</v>
      </c>
      <c r="V670" s="11" t="str">
        <v>All</v>
      </c>
      <c r="X670">
        <f t="shared" ca="1" si="369"/>
        <v>0.5701736145783185</v>
      </c>
      <c r="Z670" s="17">
        <f t="shared" ca="1" si="370"/>
        <v>46213</v>
      </c>
      <c r="AG670" s="33">
        <f t="shared" ca="1" si="371"/>
        <v>0.30147553910860891</v>
      </c>
      <c r="AH670">
        <f t="shared" ca="1" si="372"/>
        <v>0.14820489729984482</v>
      </c>
      <c r="AI670">
        <f t="shared" ca="1" si="373"/>
        <v>0.11976771360982345</v>
      </c>
      <c r="AJ670">
        <f t="shared" ca="1" si="374"/>
        <v>9.8687406571513203E-2</v>
      </c>
      <c r="AK670">
        <f t="shared" ca="1" si="375"/>
        <v>7.4896772316923044E-2</v>
      </c>
    </row>
    <row r="671" spans="1:37" ht="17.25" customHeight="1">
      <c r="A671" s="19"/>
      <c r="B671" s="45" t="s">
        <v>515</v>
      </c>
      <c r="C671" s="36" t="s">
        <v>27</v>
      </c>
      <c r="D671" s="36" t="s">
        <v>35</v>
      </c>
      <c r="E671" s="36" t="s">
        <v>110</v>
      </c>
      <c r="F671" s="28" t="s">
        <v>29</v>
      </c>
      <c r="G671" s="28" t="s">
        <v>38</v>
      </c>
      <c r="H671" s="83" t="str">
        <f>HYPERLINK("https://innovativeincomeinvestor.com/security/u-s-bancorp-4-00-series-m-non-cumulative-perpetual-preferred-stock/","USB-R")</f>
        <v>USB-R</v>
      </c>
      <c r="I671" s="47">
        <v>0.04</v>
      </c>
      <c r="J671" s="65">
        <f ca="1">IFERROR(__xludf.DUMMYFUNCTION("GoogleFinance(H671)"),16.43)</f>
        <v>16.43</v>
      </c>
      <c r="K671" s="48">
        <f ca="1">IFERROR(__xludf.DUMMYFUNCTION("googlefinance(H671,""change"")"),-0.11)</f>
        <v>-0.11</v>
      </c>
      <c r="L671" s="27">
        <f t="shared" ca="1" si="383"/>
        <v>6.0864272671941569E-2</v>
      </c>
      <c r="M671" s="27">
        <f t="shared" ca="1" si="385"/>
        <v>0.49498959934262876</v>
      </c>
      <c r="N671" s="28" t="s">
        <v>39</v>
      </c>
      <c r="O671" s="28" t="s">
        <v>311</v>
      </c>
      <c r="P671" s="28" t="s">
        <v>76</v>
      </c>
      <c r="Q671" s="29">
        <v>0.25</v>
      </c>
      <c r="R671" s="64">
        <v>46127</v>
      </c>
      <c r="S671" s="54" t="s">
        <v>41</v>
      </c>
      <c r="T671" s="62" t="s">
        <v>60</v>
      </c>
      <c r="U671" s="16">
        <f t="shared" ca="1" si="384"/>
        <v>0.76438356164383559</v>
      </c>
      <c r="V671" s="11" t="str">
        <v>All</v>
      </c>
      <c r="X671">
        <f t="shared" ca="1" si="369"/>
        <v>0.49502196250527736</v>
      </c>
      <c r="Z671" s="17">
        <f t="shared" ca="1" si="370"/>
        <v>46213</v>
      </c>
      <c r="AG671" s="33">
        <f t="shared" ca="1" si="371"/>
        <v>0.26667647493440078</v>
      </c>
      <c r="AH671">
        <f t="shared" ca="1" si="372"/>
        <v>0.13554657458993388</v>
      </c>
      <c r="AI671">
        <f t="shared" ca="1" si="373"/>
        <v>0.11114991261231136</v>
      </c>
      <c r="AJ671">
        <f t="shared" ca="1" si="374"/>
        <v>9.3056215033211639E-2</v>
      </c>
      <c r="AK671">
        <f t="shared" ca="1" si="375"/>
        <v>7.2646151225956371E-2</v>
      </c>
    </row>
    <row r="672" spans="1:37" ht="17.25" customHeight="1">
      <c r="A672" s="19"/>
      <c r="B672" s="45" t="s">
        <v>515</v>
      </c>
      <c r="C672" s="36" t="s">
        <v>27</v>
      </c>
      <c r="D672" s="36" t="s">
        <v>39</v>
      </c>
      <c r="E672" s="36" t="s">
        <v>110</v>
      </c>
      <c r="F672" s="28" t="s">
        <v>29</v>
      </c>
      <c r="G672" s="28" t="s">
        <v>38</v>
      </c>
      <c r="H672" s="83" t="str">
        <f>HYPERLINK("https://innovativeincomeinvestor.com/security/us-bancorp-4-50-series-o-non-cumulative-perpetual-preferred-stock/","USB-S")</f>
        <v>USB-S</v>
      </c>
      <c r="I672" s="47">
        <v>4.4999999999999998E-2</v>
      </c>
      <c r="J672" s="114">
        <f ca="1">IFERROR(__xludf.DUMMYFUNCTION("GoogleFinance(H672)"),18.69)</f>
        <v>18.690000000000001</v>
      </c>
      <c r="K672" s="57">
        <f ca="1">IFERROR(__xludf.DUMMYFUNCTION("googlefinance(H672,""change"")"),-0.06)</f>
        <v>-0.06</v>
      </c>
      <c r="L672" s="58">
        <f t="shared" ca="1" si="383"/>
        <v>5.9925093632958802E-2</v>
      </c>
      <c r="M672" s="58">
        <f t="shared" ca="1" si="385"/>
        <v>0.24878364516701607</v>
      </c>
      <c r="N672" s="59" t="s">
        <v>39</v>
      </c>
      <c r="O672" s="28" t="s">
        <v>311</v>
      </c>
      <c r="P672" s="28" t="s">
        <v>76</v>
      </c>
      <c r="Q672" s="60">
        <v>0.28000000000000003</v>
      </c>
      <c r="R672" s="49">
        <v>46492</v>
      </c>
      <c r="S672" s="114" t="s">
        <v>41</v>
      </c>
      <c r="T672" s="62" t="s">
        <v>60</v>
      </c>
      <c r="U672" s="16">
        <f t="shared" ca="1" si="384"/>
        <v>1.7643835616438357</v>
      </c>
      <c r="V672" s="11" t="str">
        <v>All</v>
      </c>
      <c r="X672">
        <f t="shared" ca="1" si="369"/>
        <v>0.35593744869320271</v>
      </c>
      <c r="Z672" s="17">
        <f t="shared" ca="1" si="370"/>
        <v>46213</v>
      </c>
      <c r="AG672" s="33">
        <f t="shared" ca="1" si="371"/>
        <v>0.20143352005513007</v>
      </c>
      <c r="AH672">
        <f t="shared" ca="1" si="372"/>
        <v>0.11157345309209246</v>
      </c>
      <c r="AI672">
        <f t="shared" ca="1" si="373"/>
        <v>9.4767216501540727E-2</v>
      </c>
      <c r="AJ672">
        <f t="shared" ca="1" si="374"/>
        <v>8.2291543801715078E-2</v>
      </c>
      <c r="AK672">
        <f t="shared" ca="1" si="375"/>
        <v>6.823018712671032E-2</v>
      </c>
    </row>
    <row r="673" spans="1:37" ht="17.25" customHeight="1">
      <c r="A673" s="19"/>
      <c r="B673" s="84" t="s">
        <v>515</v>
      </c>
      <c r="C673" s="36" t="s">
        <v>27</v>
      </c>
      <c r="D673" s="36" t="s">
        <v>35</v>
      </c>
      <c r="E673" s="36" t="s">
        <v>110</v>
      </c>
      <c r="F673" s="36" t="s">
        <v>138</v>
      </c>
      <c r="G673" s="28" t="s">
        <v>38</v>
      </c>
      <c r="H673" s="63" t="str">
        <f>HYPERLINK("https://innovativeincomeinvestor.com/security/u-s-bancorp-floating-rate-non-cumulative-perpetual-preferred-stock-series-b/","USB-H")</f>
        <v>USB-H</v>
      </c>
      <c r="I673" s="47">
        <v>3.5000000000000003E-2</v>
      </c>
      <c r="J673" s="65">
        <f ca="1">IFERROR(__xludf.DUMMYFUNCTION("GoogleFinance(H673)"),20.2)</f>
        <v>20.2</v>
      </c>
      <c r="K673" s="48">
        <f ca="1">IFERROR(__xludf.DUMMYFUNCTION("googlefinance(H673,""change"")"),-0.02)</f>
        <v>-0.02</v>
      </c>
      <c r="L673" s="52" t="s">
        <v>47</v>
      </c>
      <c r="M673" s="52" t="s">
        <v>47</v>
      </c>
      <c r="N673" s="28" t="s">
        <v>39</v>
      </c>
      <c r="O673" s="28" t="s">
        <v>311</v>
      </c>
      <c r="P673" s="28" t="s">
        <v>76</v>
      </c>
      <c r="Q673" s="52" t="s">
        <v>47</v>
      </c>
      <c r="R673" s="64">
        <v>40648</v>
      </c>
      <c r="S673" s="54" t="s">
        <v>41</v>
      </c>
      <c r="T673" s="62" t="s">
        <v>60</v>
      </c>
      <c r="U673" s="16" t="s">
        <v>0</v>
      </c>
      <c r="V673" s="11" t="str">
        <v>All</v>
      </c>
      <c r="X673">
        <f t="shared" ca="1" si="369"/>
        <v>0.25906176273926323</v>
      </c>
      <c r="Z673" s="17">
        <f t="shared" ca="1" si="370"/>
        <v>46213</v>
      </c>
      <c r="AG673" s="33">
        <f t="shared" ca="1" si="371"/>
        <v>0.1476155571066006</v>
      </c>
      <c r="AH673">
        <f t="shared" ca="1" si="372"/>
        <v>8.2244056046813646E-2</v>
      </c>
      <c r="AI673">
        <f t="shared" ca="1" si="373"/>
        <v>6.9944708628048566E-2</v>
      </c>
      <c r="AJ673">
        <f t="shared" ca="1" si="374"/>
        <v>6.077289305033063E-2</v>
      </c>
      <c r="AK673">
        <f t="shared" ca="1" si="375"/>
        <v>5.0284491277427096E-2</v>
      </c>
    </row>
    <row r="674" spans="1:37" ht="17.25" customHeight="1">
      <c r="A674" s="19"/>
      <c r="B674" s="45" t="s">
        <v>516</v>
      </c>
      <c r="C674" s="36" t="s">
        <v>27</v>
      </c>
      <c r="D674" s="36" t="s">
        <v>35</v>
      </c>
      <c r="E674" s="36" t="s">
        <v>110</v>
      </c>
      <c r="F674" s="28" t="s">
        <v>46</v>
      </c>
      <c r="G674" s="28" t="s">
        <v>38</v>
      </c>
      <c r="H674" s="94" t="str">
        <f>HYPERLINK("https://innovativeincomeinvestor.com/security/valley-national-bank-6-25/","VLYPP")</f>
        <v>VLYPP</v>
      </c>
      <c r="I674" s="47">
        <v>6.25E-2</v>
      </c>
      <c r="J674" s="65">
        <f ca="1">IFERROR(__xludf.DUMMYFUNCTION("GoogleFinance(H674)"),25.04)</f>
        <v>25.04</v>
      </c>
      <c r="K674" s="67">
        <f ca="1">IFERROR(__xludf.DUMMYFUNCTION("googlefinance(H674,""change"")"),0.1)</f>
        <v>0.1</v>
      </c>
      <c r="L674" s="27">
        <f ca="1">(Q674*4)/J674</f>
        <v>6.2400159744408948E-2</v>
      </c>
      <c r="M674" s="27">
        <f t="array" aca="1" ref="M674" ca="1">L674*U674+(25-J674)/25/U674</f>
        <v>5.6690406582343721E-2</v>
      </c>
      <c r="N674" s="28" t="s">
        <v>31</v>
      </c>
      <c r="O674" s="28" t="s">
        <v>223</v>
      </c>
      <c r="P674" s="28" t="s">
        <v>32</v>
      </c>
      <c r="Q674" s="29">
        <f>(I674*25)/4</f>
        <v>0.390625</v>
      </c>
      <c r="R674" s="64">
        <v>45838</v>
      </c>
      <c r="S674" s="54" t="s">
        <v>41</v>
      </c>
      <c r="T674" s="62" t="s">
        <v>481</v>
      </c>
      <c r="U674" s="16">
        <f t="shared" ref="U674:U679" ca="1" si="387">(R674-TODAY())/365</f>
        <v>-2.7397260273972601E-2</v>
      </c>
      <c r="V674" s="11" t="str">
        <v>All</v>
      </c>
      <c r="X674">
        <f t="shared" ca="1" si="369"/>
        <v>6.0838702058740868E-2</v>
      </c>
      <c r="Z674" s="17">
        <f t="shared" ca="1" si="370"/>
        <v>46213</v>
      </c>
      <c r="AG674" s="33">
        <f t="shared" ca="1" si="371"/>
        <v>6.1643531171233217E-2</v>
      </c>
      <c r="AH674">
        <f t="shared" ca="1" si="372"/>
        <v>6.2124785324380968E-2</v>
      </c>
      <c r="AI674">
        <f t="shared" ca="1" si="373"/>
        <v>6.2215665349838245E-2</v>
      </c>
      <c r="AJ674">
        <f t="shared" ca="1" si="374"/>
        <v>6.2283390227282999E-2</v>
      </c>
      <c r="AK674">
        <f t="shared" ca="1" si="375"/>
        <v>6.235884936974595E-2</v>
      </c>
    </row>
    <row r="675" spans="1:37" ht="17.25" customHeight="1">
      <c r="A675" s="19"/>
      <c r="B675" s="45" t="s">
        <v>516</v>
      </c>
      <c r="C675" s="36" t="s">
        <v>27</v>
      </c>
      <c r="D675" s="36" t="s">
        <v>35</v>
      </c>
      <c r="E675" s="28" t="s">
        <v>110</v>
      </c>
      <c r="F675" s="28" t="s">
        <v>46</v>
      </c>
      <c r="G675" s="28" t="s">
        <v>38</v>
      </c>
      <c r="H675" s="51" t="str">
        <f>HYPERLINK("https://innovativeincomeinvestor.com/security/valley-national-bank-5-50-fixed-to-floating-rate-non-cumulative-preferred-stock-series-b/","VLYPO")</f>
        <v>VLYPO</v>
      </c>
      <c r="I675" s="47">
        <v>5.5E-2</v>
      </c>
      <c r="J675" s="65">
        <f ca="1">IFERROR(__xludf.DUMMYFUNCTION("GoogleFinance(H675)"),24.66)</f>
        <v>24.66</v>
      </c>
      <c r="K675" s="48">
        <f ca="1">IFERROR(__xludf.DUMMYFUNCTION("googlefinance(H675,""change"")"),-0.02)</f>
        <v>-0.02</v>
      </c>
      <c r="L675" s="52" t="s">
        <v>47</v>
      </c>
      <c r="M675" s="52" t="s">
        <v>47</v>
      </c>
      <c r="N675" s="28" t="s">
        <v>31</v>
      </c>
      <c r="O675" s="28" t="s">
        <v>223</v>
      </c>
      <c r="P675" s="28" t="s">
        <v>32</v>
      </c>
      <c r="Q675" s="52" t="s">
        <v>47</v>
      </c>
      <c r="R675" s="64">
        <v>44834</v>
      </c>
      <c r="S675" s="54" t="s">
        <v>41</v>
      </c>
      <c r="T675" s="62" t="s">
        <v>56</v>
      </c>
      <c r="U675" s="16">
        <f t="shared" ca="1" si="387"/>
        <v>-2.7780821917808218</v>
      </c>
      <c r="V675" s="11" t="str">
        <v>All</v>
      </c>
      <c r="X675">
        <f t="shared" ca="1" si="369"/>
        <v>6.9193185084169648E-2</v>
      </c>
      <c r="Z675" s="17">
        <f t="shared" ca="1" si="370"/>
        <v>46213</v>
      </c>
      <c r="AG675" s="33">
        <f t="shared" ca="1" si="371"/>
        <v>6.2285067824873169E-2</v>
      </c>
      <c r="AH675">
        <f t="shared" ca="1" si="372"/>
        <v>5.8155442895930221E-2</v>
      </c>
      <c r="AI675">
        <f t="shared" ca="1" si="373"/>
        <v>5.7373924366165639E-2</v>
      </c>
      <c r="AJ675">
        <f t="shared" ca="1" si="374"/>
        <v>5.6792391027193835E-2</v>
      </c>
      <c r="AK675">
        <f t="shared" ca="1" si="375"/>
        <v>5.6136000026442118E-2</v>
      </c>
    </row>
    <row r="676" spans="1:37" ht="17.25" customHeight="1">
      <c r="A676" s="19"/>
      <c r="B676" s="45" t="s">
        <v>516</v>
      </c>
      <c r="C676" s="36" t="s">
        <v>27</v>
      </c>
      <c r="D676" s="36" t="s">
        <v>35</v>
      </c>
      <c r="E676" s="36" t="s">
        <v>110</v>
      </c>
      <c r="F676" s="28" t="s">
        <v>61</v>
      </c>
      <c r="G676" s="28" t="s">
        <v>38</v>
      </c>
      <c r="H676" s="51" t="str">
        <f>HYPERLINK("https://innovativeincomeinvestor.com/security/valley-national-bancorp-8-25-fixed-rate-reset-non-cumulative-perpetual-preferred-stock-seriees-c/","VLYPN")</f>
        <v>VLYPN</v>
      </c>
      <c r="I676" s="47">
        <v>8.2500000000000004E-2</v>
      </c>
      <c r="J676" s="65">
        <f ca="1">IFERROR(__xludf.DUMMYFUNCTION("GoogleFinance(H676)"),25.02)</f>
        <v>25.02</v>
      </c>
      <c r="K676" s="67">
        <f ca="1">IFERROR(__xludf.DUMMYFUNCTION("googlefinance(H676,""change"")"),-0.18)</f>
        <v>-0.18</v>
      </c>
      <c r="L676" s="27">
        <f ca="1">(Q676*4)/J676</f>
        <v>8.3133493205435657E-2</v>
      </c>
      <c r="M676" s="27">
        <f t="array" aca="1" ref="M676" ca="1">L676*U676+(25-J676)/25/U676</f>
        <v>0.35124905967678738</v>
      </c>
      <c r="N676" s="28" t="s">
        <v>31</v>
      </c>
      <c r="O676" s="28" t="s">
        <v>223</v>
      </c>
      <c r="P676" s="28" t="s">
        <v>32</v>
      </c>
      <c r="Q676" s="29">
        <v>0.52</v>
      </c>
      <c r="R676" s="64">
        <v>47391</v>
      </c>
      <c r="S676" s="54" t="s">
        <v>41</v>
      </c>
      <c r="T676" s="62" t="s">
        <v>481</v>
      </c>
      <c r="U676" s="16">
        <f t="shared" ca="1" si="387"/>
        <v>4.2273972602739729</v>
      </c>
      <c r="V676" s="11" t="str">
        <v>All</v>
      </c>
      <c r="X676">
        <f t="shared" ca="1" si="369"/>
        <v>8.1658758069714843E-2</v>
      </c>
      <c r="Z676" s="17">
        <f t="shared" ca="1" si="370"/>
        <v>46213</v>
      </c>
      <c r="AG676" s="33">
        <f t="shared" ca="1" si="371"/>
        <v>8.2062197470625625E-2</v>
      </c>
      <c r="AH676">
        <f t="shared" ca="1" si="372"/>
        <v>8.2302555006870615E-2</v>
      </c>
      <c r="AI676">
        <f t="shared" ca="1" si="373"/>
        <v>8.2347535579772632E-2</v>
      </c>
      <c r="AJ676">
        <f t="shared" ca="1" si="374"/>
        <v>8.2381081362339514E-2</v>
      </c>
      <c r="AK676">
        <f t="shared" ca="1" si="375"/>
        <v>8.2416881803237932E-2</v>
      </c>
    </row>
    <row r="677" spans="1:37" ht="17.25" customHeight="1">
      <c r="A677" s="19"/>
      <c r="B677" s="45" t="s">
        <v>517</v>
      </c>
      <c r="C677" s="36" t="s">
        <v>35</v>
      </c>
      <c r="D677" s="36" t="s">
        <v>35</v>
      </c>
      <c r="E677" s="36" t="s">
        <v>73</v>
      </c>
      <c r="F677" s="28" t="s">
        <v>46</v>
      </c>
      <c r="G677" s="28" t="s">
        <v>38</v>
      </c>
      <c r="H677" s="94" t="str">
        <f>HYPERLINK("https://innovativeincomeinvestor.com/security/spark-energy-8-75-series-a-fixed-to-floating-cumulative-redeemable-perpetual-preferred-stock/","VIASP")</f>
        <v>VIASP</v>
      </c>
      <c r="I677" s="47">
        <v>8.7499999999999994E-2</v>
      </c>
      <c r="J677" s="65">
        <f ca="1">IFERROR(__xludf.DUMMYFUNCTION("GoogleFinance(H677)"),25.18)</f>
        <v>25.18</v>
      </c>
      <c r="K677" s="48">
        <f ca="1">IFERROR(__xludf.DUMMYFUNCTION("googlefinance(H677,""change"")"),0.07)</f>
        <v>7.0000000000000007E-2</v>
      </c>
      <c r="L677" s="52" t="s">
        <v>47</v>
      </c>
      <c r="M677" s="52" t="s">
        <v>47</v>
      </c>
      <c r="N677" s="28" t="s">
        <v>31</v>
      </c>
      <c r="O677" s="28" t="s">
        <v>32</v>
      </c>
      <c r="P677" s="28" t="s">
        <v>32</v>
      </c>
      <c r="Q677" s="52" t="s">
        <v>47</v>
      </c>
      <c r="R677" s="64">
        <v>44666</v>
      </c>
      <c r="S677" s="54" t="s">
        <v>41</v>
      </c>
      <c r="T677" s="62" t="s">
        <v>60</v>
      </c>
      <c r="U677" s="16">
        <f t="shared" ca="1" si="387"/>
        <v>-3.2383561643835614</v>
      </c>
      <c r="V677" s="11" t="str">
        <v>All</v>
      </c>
      <c r="X677">
        <f t="shared" ca="1" si="369"/>
        <v>7.9936726262166344E-2</v>
      </c>
      <c r="Z677" s="17">
        <f t="shared" ca="1" si="370"/>
        <v>46213</v>
      </c>
      <c r="AG677" s="33">
        <f t="shared" ca="1" si="371"/>
        <v>8.3553450730236012E-2</v>
      </c>
      <c r="AH677">
        <f t="shared" ca="1" si="372"/>
        <v>8.571289057532723E-2</v>
      </c>
      <c r="AI677">
        <f t="shared" ca="1" si="373"/>
        <v>8.6117964734979929E-2</v>
      </c>
      <c r="AJ677">
        <f t="shared" ca="1" si="374"/>
        <v>8.6416211022767489E-2</v>
      </c>
      <c r="AK677">
        <f t="shared" ca="1" si="375"/>
        <v>8.6737142944407833E-2</v>
      </c>
    </row>
    <row r="678" spans="1:37" ht="17.25" customHeight="1">
      <c r="A678" s="68"/>
      <c r="B678" s="69" t="s">
        <v>518</v>
      </c>
      <c r="C678" s="28" t="s">
        <v>35</v>
      </c>
      <c r="D678" s="28" t="s">
        <v>36</v>
      </c>
      <c r="E678" s="28" t="s">
        <v>37</v>
      </c>
      <c r="F678" s="36" t="s">
        <v>29</v>
      </c>
      <c r="G678" s="28" t="s">
        <v>38</v>
      </c>
      <c r="H678" s="66" t="str">
        <f>HYPERLINK("https://innovativeincomeinvestor.com/security/4824/","NCZ-A")</f>
        <v>NCZ-A</v>
      </c>
      <c r="I678" s="47">
        <v>5.5E-2</v>
      </c>
      <c r="J678" s="56">
        <f ca="1">IFERROR(__xludf.DUMMYFUNCTION("IMPORTXML(""https://bigcharts.marketwatch.com/quickchart/quickchart.asp?symb=NCZPRA&amp;insttype=Stock"",""html/body/div[1]/div[2]/table/tbody/tr/td[1]/table/tbody/tr[3]/td[1]/div"")"),20.6621)</f>
        <v>20.662099999999999</v>
      </c>
      <c r="K678" s="67">
        <f ca="1">IFERROR(__xludf.DUMMYFUNCTION("googlefinance(H678,""change"")"),-0.04)</f>
        <v>-0.04</v>
      </c>
      <c r="L678" s="27">
        <f t="shared" ref="L678:L679" ca="1" si="388">(I678*25)/J678</f>
        <v>6.6546962796617967E-2</v>
      </c>
      <c r="M678" s="27">
        <f t="shared" ref="M678:M681" ca="1" si="389">(25-J678)/25</f>
        <v>0.17351600000000006</v>
      </c>
      <c r="N678" s="28" t="s">
        <v>39</v>
      </c>
      <c r="O678" s="28" t="s">
        <v>32</v>
      </c>
      <c r="P678" s="28" t="s">
        <v>32</v>
      </c>
      <c r="Q678" s="54">
        <f t="shared" ref="Q678:Q682" si="390">(I678*25)/4</f>
        <v>0.34375</v>
      </c>
      <c r="R678" s="64">
        <v>45180</v>
      </c>
      <c r="S678" s="28" t="s">
        <v>41</v>
      </c>
      <c r="T678" s="62" t="s">
        <v>42</v>
      </c>
      <c r="U678" s="16">
        <f t="shared" ca="1" si="387"/>
        <v>-1.8301369863013699</v>
      </c>
      <c r="V678" s="11" t="str">
        <v>All</v>
      </c>
      <c r="X678">
        <f t="shared" ca="1" si="369"/>
        <v>0.25728683473847286</v>
      </c>
      <c r="Z678" s="17">
        <f t="shared" ca="1" si="370"/>
        <v>46213</v>
      </c>
      <c r="AG678" s="33">
        <f t="shared" ca="1" si="371"/>
        <v>0.15786023042784098</v>
      </c>
      <c r="AH678">
        <f t="shared" ca="1" si="372"/>
        <v>9.9486956043475877E-2</v>
      </c>
      <c r="AI678">
        <f t="shared" ca="1" si="373"/>
        <v>8.8541691792244206E-2</v>
      </c>
      <c r="AJ678">
        <f t="shared" ca="1" si="374"/>
        <v>8.0428532271308431E-2</v>
      </c>
      <c r="AK678">
        <f t="shared" ca="1" si="375"/>
        <v>7.136201659122178E-2</v>
      </c>
    </row>
    <row r="679" spans="1:37" ht="17.25" customHeight="1">
      <c r="A679" s="68"/>
      <c r="B679" s="69" t="s">
        <v>519</v>
      </c>
      <c r="C679" s="28" t="s">
        <v>35</v>
      </c>
      <c r="D679" s="28" t="s">
        <v>36</v>
      </c>
      <c r="E679" s="28" t="s">
        <v>37</v>
      </c>
      <c r="F679" s="36" t="s">
        <v>29</v>
      </c>
      <c r="G679" s="28" t="s">
        <v>38</v>
      </c>
      <c r="H679" s="66" t="str">
        <f>HYPERLINK("https://innovativeincomeinvestor.com/security/allianzgi-converitble-and-income-fund-5-625-series-a-cumulative-preferred-shares/","NCV-A")</f>
        <v>NCV-A</v>
      </c>
      <c r="I679" s="47">
        <v>5.6250000000000001E-2</v>
      </c>
      <c r="J679" s="56">
        <f ca="1">IFERROR(__xludf.DUMMYFUNCTION("IMPORTXML(""https://bigcharts.marketwatch.com/quickchart/quickchart.asp?symb=NCVPRA&amp;insttype=Stock"",""html/body/div[1]/div[2]/table/tbody/tr/td[1]/table/tbody/tr[3]/td[1]/div"")"),21.2951)</f>
        <v>21.295100000000001</v>
      </c>
      <c r="K679" s="65">
        <f ca="1">IFERROR(__xludf.DUMMYFUNCTION("googlefinance(H679,""change"")"),-0.15)</f>
        <v>-0.15</v>
      </c>
      <c r="L679" s="27">
        <f t="shared" ca="1" si="388"/>
        <v>6.6036318214049233E-2</v>
      </c>
      <c r="M679" s="27">
        <f t="shared" ca="1" si="389"/>
        <v>0.14819599999999994</v>
      </c>
      <c r="N679" s="28" t="s">
        <v>39</v>
      </c>
      <c r="O679" s="28" t="s">
        <v>32</v>
      </c>
      <c r="P679" s="28" t="s">
        <v>32</v>
      </c>
      <c r="Q679" s="54">
        <f t="shared" si="390"/>
        <v>0.3515625</v>
      </c>
      <c r="R679" s="64">
        <v>45189</v>
      </c>
      <c r="S679" s="28" t="s">
        <v>41</v>
      </c>
      <c r="T679" s="62" t="s">
        <v>42</v>
      </c>
      <c r="U679" s="16">
        <f t="shared" ca="1" si="387"/>
        <v>-1.8054794520547945</v>
      </c>
      <c r="V679" s="11" t="str">
        <v>All</v>
      </c>
      <c r="X679">
        <f t="shared" ca="1" si="369"/>
        <v>0.22594840185761811</v>
      </c>
      <c r="Z679" s="17">
        <f t="shared" ca="1" si="370"/>
        <v>46213</v>
      </c>
      <c r="AG679" s="33">
        <f t="shared" ca="1" si="371"/>
        <v>0.14273224040803512</v>
      </c>
      <c r="AH679">
        <f t="shared" ca="1" si="372"/>
        <v>9.373061414021143E-2</v>
      </c>
      <c r="AI679">
        <f t="shared" ca="1" si="373"/>
        <v>8.4531079625114011E-2</v>
      </c>
      <c r="AJ679">
        <f t="shared" ca="1" si="374"/>
        <v>7.7710195328828946E-2</v>
      </c>
      <c r="AK679">
        <f t="shared" ca="1" si="375"/>
        <v>7.008748317497869E-2</v>
      </c>
    </row>
    <row r="680" spans="1:37" ht="17.25" customHeight="1">
      <c r="A680" s="19"/>
      <c r="B680" s="84" t="s">
        <v>520</v>
      </c>
      <c r="C680" s="36" t="s">
        <v>35</v>
      </c>
      <c r="D680" s="36" t="s">
        <v>27</v>
      </c>
      <c r="E680" s="36" t="s">
        <v>63</v>
      </c>
      <c r="F680" s="36" t="s">
        <v>29</v>
      </c>
      <c r="G680" s="28" t="s">
        <v>38</v>
      </c>
      <c r="H680" s="63" t="str">
        <f>HYPERLINK("https://innovativeincomeinvestor.com/security/vornado-realty-trust-5-40-series-l-cumulative-redeemable-preferred-stock/","VNO-L")</f>
        <v>VNO-L</v>
      </c>
      <c r="I680" s="47">
        <v>5.3999999999999999E-2</v>
      </c>
      <c r="J680" s="65">
        <f ca="1">IFERROR(__xludf.DUMMYFUNCTION("GoogleFinance(H680)"),17.56)</f>
        <v>17.559999999999999</v>
      </c>
      <c r="K680" s="48">
        <f ca="1">IFERROR(__xludf.DUMMYFUNCTION("googlefinance(H680,""change"")"),-0.07)</f>
        <v>-7.0000000000000007E-2</v>
      </c>
      <c r="L680" s="27">
        <f t="shared" ref="L680:L691" ca="1" si="391">(Q680*4)/J680</f>
        <v>7.6879271070615041E-2</v>
      </c>
      <c r="M680" s="27">
        <f t="shared" ca="1" si="389"/>
        <v>0.29760000000000003</v>
      </c>
      <c r="N680" s="28" t="s">
        <v>31</v>
      </c>
      <c r="O680" s="28" t="s">
        <v>30</v>
      </c>
      <c r="P680" s="28" t="s">
        <v>83</v>
      </c>
      <c r="Q680" s="29">
        <f t="shared" si="390"/>
        <v>0.33750000000000002</v>
      </c>
      <c r="R680" s="64">
        <v>43125</v>
      </c>
      <c r="S680" s="54" t="s">
        <v>41</v>
      </c>
      <c r="T680" s="62" t="s">
        <v>74</v>
      </c>
      <c r="U680" s="16" t="s">
        <v>0</v>
      </c>
      <c r="V680" s="11" t="str">
        <v>All</v>
      </c>
      <c r="X680">
        <f t="shared" ca="1" si="369"/>
        <v>0.43710441665362565</v>
      </c>
      <c r="Z680" s="17">
        <f t="shared" ca="1" si="370"/>
        <v>46213</v>
      </c>
      <c r="AG680" s="33">
        <f t="shared" ca="1" si="371"/>
        <v>0.24703338605898997</v>
      </c>
      <c r="AH680">
        <f t="shared" ca="1" si="372"/>
        <v>0.1372738433934422</v>
      </c>
      <c r="AI680">
        <f t="shared" ca="1" si="373"/>
        <v>0.11686557357567173</v>
      </c>
      <c r="AJ680">
        <f t="shared" ca="1" si="374"/>
        <v>0.10179493828460345</v>
      </c>
      <c r="AK680">
        <f t="shared" ca="1" si="375"/>
        <v>8.5106545210488493E-2</v>
      </c>
    </row>
    <row r="681" spans="1:37" ht="17.25" customHeight="1">
      <c r="A681" s="19"/>
      <c r="B681" s="45" t="s">
        <v>520</v>
      </c>
      <c r="C681" s="36" t="s">
        <v>35</v>
      </c>
      <c r="D681" s="36" t="s">
        <v>27</v>
      </c>
      <c r="E681" s="36" t="s">
        <v>63</v>
      </c>
      <c r="F681" s="36" t="s">
        <v>29</v>
      </c>
      <c r="G681" s="28" t="s">
        <v>38</v>
      </c>
      <c r="H681" s="63" t="str">
        <f>HYPERLINK("https://innovativeincomeinvestor.com/security/vornado-realty-trust-5-25-series-m-cumulative-redeemable-preferred-shares/","VNO-M")</f>
        <v>VNO-M</v>
      </c>
      <c r="I681" s="47">
        <v>5.2499999999999998E-2</v>
      </c>
      <c r="J681" s="65">
        <f ca="1">IFERROR(__xludf.DUMMYFUNCTION("GoogleFinance(H681)"),17.02)</f>
        <v>17.02</v>
      </c>
      <c r="K681" s="67">
        <f ca="1">IFERROR(__xludf.DUMMYFUNCTION("googlefinance(H681,""change"")"),-0.05)</f>
        <v>-0.05</v>
      </c>
      <c r="L681" s="27">
        <f t="shared" ca="1" si="391"/>
        <v>7.7115158636897774E-2</v>
      </c>
      <c r="M681" s="27">
        <f t="shared" ca="1" si="389"/>
        <v>0.31920000000000004</v>
      </c>
      <c r="N681" s="28" t="s">
        <v>31</v>
      </c>
      <c r="O681" s="28" t="s">
        <v>30</v>
      </c>
      <c r="P681" s="28" t="s">
        <v>83</v>
      </c>
      <c r="Q681" s="29">
        <f t="shared" si="390"/>
        <v>0.328125</v>
      </c>
      <c r="R681" s="64">
        <v>44908</v>
      </c>
      <c r="S681" s="54" t="s">
        <v>41</v>
      </c>
      <c r="T681" s="62" t="s">
        <v>74</v>
      </c>
      <c r="U681" s="16">
        <f t="shared" ref="U681:U699" ca="1" si="392">(R681-TODAY())/365</f>
        <v>-2.5753424657534247</v>
      </c>
      <c r="V681" s="11" t="str">
        <v>All</v>
      </c>
      <c r="X681">
        <f t="shared" ca="1" si="369"/>
        <v>0.47084106341582177</v>
      </c>
      <c r="Z681" s="17">
        <f t="shared" ca="1" si="370"/>
        <v>46213</v>
      </c>
      <c r="AG681" s="33">
        <f t="shared" ca="1" si="371"/>
        <v>0.26276652288387248</v>
      </c>
      <c r="AH681">
        <f t="shared" ca="1" si="372"/>
        <v>0.14297703672079398</v>
      </c>
      <c r="AI681">
        <f t="shared" ca="1" si="373"/>
        <v>0.12073066493633018</v>
      </c>
      <c r="AJ681">
        <f t="shared" ca="1" si="374"/>
        <v>0.104304960526822</v>
      </c>
      <c r="AK681">
        <f t="shared" ca="1" si="375"/>
        <v>8.6108169172510129E-2</v>
      </c>
    </row>
    <row r="682" spans="1:37" ht="17.25" customHeight="1">
      <c r="A682" s="19"/>
      <c r="B682" s="84" t="s">
        <v>520</v>
      </c>
      <c r="C682" s="36" t="s">
        <v>35</v>
      </c>
      <c r="D682" s="36" t="s">
        <v>27</v>
      </c>
      <c r="E682" s="36" t="s">
        <v>63</v>
      </c>
      <c r="F682" s="28" t="s">
        <v>29</v>
      </c>
      <c r="G682" s="28" t="s">
        <v>38</v>
      </c>
      <c r="H682" s="63" t="str">
        <f>HYPERLINK("https://innovativeincomeinvestor.com/security/vornado-realty-trust-5-25-series-n-cumulative-redeemable-preferred-shares-of-beneficial-interest/","VNO-N")</f>
        <v>VNO-N</v>
      </c>
      <c r="I682" s="47">
        <v>5.2499999999999998E-2</v>
      </c>
      <c r="J682" s="65">
        <f ca="1">IFERROR(__xludf.DUMMYFUNCTION("GoogleFinance(H682)"),16.96)</f>
        <v>16.96</v>
      </c>
      <c r="K682" s="67">
        <f ca="1">IFERROR(__xludf.DUMMYFUNCTION("googlefinance(H682,""change"")"),-0.04)</f>
        <v>-0.04</v>
      </c>
      <c r="L682" s="27">
        <f t="shared" ca="1" si="391"/>
        <v>7.7387971698113206E-2</v>
      </c>
      <c r="M682" s="27">
        <f t="shared" ref="M682:M685" ca="1" si="393">L682*U682+(25-J682)/25/U682</f>
        <v>0.88586451036500102</v>
      </c>
      <c r="N682" s="28" t="s">
        <v>31</v>
      </c>
      <c r="O682" s="28" t="s">
        <v>30</v>
      </c>
      <c r="P682" s="28" t="s">
        <v>83</v>
      </c>
      <c r="Q682" s="29">
        <f t="shared" si="390"/>
        <v>0.328125</v>
      </c>
      <c r="R682" s="64">
        <v>45985</v>
      </c>
      <c r="S682" s="54" t="s">
        <v>41</v>
      </c>
      <c r="T682" s="50" t="s">
        <v>74</v>
      </c>
      <c r="U682" s="16">
        <f t="shared" ca="1" si="392"/>
        <v>0.37534246575342467</v>
      </c>
      <c r="V682" s="11" t="str">
        <v>All</v>
      </c>
      <c r="X682">
        <f t="shared" ca="1" si="369"/>
        <v>0.47488767629570711</v>
      </c>
      <c r="Z682" s="17">
        <f t="shared" ca="1" si="370"/>
        <v>46213</v>
      </c>
      <c r="AG682" s="33">
        <f t="shared" ca="1" si="371"/>
        <v>0.26476066598440556</v>
      </c>
      <c r="AH682">
        <f t="shared" ca="1" si="372"/>
        <v>0.1438333318966051</v>
      </c>
      <c r="AI682">
        <f t="shared" ca="1" si="373"/>
        <v>0.12137994196576478</v>
      </c>
      <c r="AJ682">
        <f t="shared" ca="1" si="374"/>
        <v>0.10480296365267185</v>
      </c>
      <c r="AK682">
        <f t="shared" ca="1" si="375"/>
        <v>8.6443211868697759E-2</v>
      </c>
    </row>
    <row r="683" spans="1:37" ht="17.25" customHeight="1">
      <c r="A683" s="19"/>
      <c r="B683" s="84" t="s">
        <v>520</v>
      </c>
      <c r="C683" s="36" t="s">
        <v>35</v>
      </c>
      <c r="D683" s="36" t="s">
        <v>27</v>
      </c>
      <c r="E683" s="36" t="s">
        <v>63</v>
      </c>
      <c r="F683" s="28" t="s">
        <v>29</v>
      </c>
      <c r="G683" s="28" t="s">
        <v>38</v>
      </c>
      <c r="H683" s="55" t="str">
        <f>HYPERLINK("https://innovativeincomeinvestor.com/security/vornado-realty-trust-4-45-series-o-cumulative-redeemable-preferred-stock/","VNO-O")</f>
        <v>VNO-O</v>
      </c>
      <c r="I683" s="47">
        <v>4.4499999999999998E-2</v>
      </c>
      <c r="J683" s="65">
        <f ca="1">IFERROR(__xludf.DUMMYFUNCTION("GoogleFinance(H683)"),14.5)</f>
        <v>14.5</v>
      </c>
      <c r="K683" s="67">
        <f ca="1">IFERROR(__xludf.DUMMYFUNCTION("googlefinance(H683,""change"")"),-0.03)</f>
        <v>-0.03</v>
      </c>
      <c r="L683" s="27">
        <f t="shared" ca="1" si="391"/>
        <v>7.7241379310344832E-2</v>
      </c>
      <c r="M683" s="27">
        <f t="shared" ca="1" si="393"/>
        <v>0.44210400887489598</v>
      </c>
      <c r="N683" s="28" t="s">
        <v>31</v>
      </c>
      <c r="O683" s="28" t="s">
        <v>30</v>
      </c>
      <c r="P683" s="28" t="s">
        <v>83</v>
      </c>
      <c r="Q683" s="29">
        <v>0.28000000000000003</v>
      </c>
      <c r="R683" s="64">
        <v>46287</v>
      </c>
      <c r="S683" s="54" t="s">
        <v>41</v>
      </c>
      <c r="T683" s="50" t="s">
        <v>74</v>
      </c>
      <c r="U683" s="16">
        <f t="shared" ca="1" si="392"/>
        <v>1.2027397260273973</v>
      </c>
      <c r="V683" s="11" t="str">
        <v>All</v>
      </c>
      <c r="X683">
        <f t="shared" ca="1" si="369"/>
        <v>0.64698394295858952</v>
      </c>
      <c r="Z683" s="17">
        <f t="shared" ca="1" si="370"/>
        <v>46213</v>
      </c>
      <c r="AG683" s="33">
        <f t="shared" ca="1" si="371"/>
        <v>0.34335441237130232</v>
      </c>
      <c r="AH683">
        <f t="shared" ca="1" si="372"/>
        <v>0.17126341928369634</v>
      </c>
      <c r="AI683">
        <f t="shared" ca="1" si="373"/>
        <v>0.13949353199018247</v>
      </c>
      <c r="AJ683">
        <f t="shared" ca="1" si="374"/>
        <v>0.11604410243535805</v>
      </c>
      <c r="AK683">
        <f t="shared" ca="1" si="375"/>
        <v>8.9967163485883697E-2</v>
      </c>
    </row>
    <row r="684" spans="1:37" ht="17.25" customHeight="1">
      <c r="A684" s="19"/>
      <c r="B684" s="84" t="s">
        <v>521</v>
      </c>
      <c r="C684" s="36" t="s">
        <v>27</v>
      </c>
      <c r="D684" s="36" t="s">
        <v>35</v>
      </c>
      <c r="E684" s="36" t="s">
        <v>54</v>
      </c>
      <c r="F684" s="28" t="s">
        <v>46</v>
      </c>
      <c r="G684" s="28" t="s">
        <v>38</v>
      </c>
      <c r="H684" s="63" t="str">
        <f>HYPERLINK("https://innovativeincomeinvestor.com/security/voya-financial-inc-5-35-fixed-rate-reset-non-cumulative-preferred-stock-series-b/","VOYA-B")</f>
        <v>VOYA-B</v>
      </c>
      <c r="I684" s="47">
        <v>5.3499999999999999E-2</v>
      </c>
      <c r="J684" s="65">
        <f ca="1">IFERROR(__xludf.DUMMYFUNCTION("GoogleFinance(H684)"),24.53)</f>
        <v>24.53</v>
      </c>
      <c r="K684" s="98">
        <f ca="1">IFERROR(__xludf.DUMMYFUNCTION("googlefinance(H684,""change"")"),0.09)</f>
        <v>0.09</v>
      </c>
      <c r="L684" s="27">
        <f t="shared" ca="1" si="391"/>
        <v>5.4525071341214836E-2</v>
      </c>
      <c r="M684" s="27">
        <f t="shared" ca="1" si="393"/>
        <v>0.23274921854394126</v>
      </c>
      <c r="N684" s="28" t="s">
        <v>31</v>
      </c>
      <c r="O684" s="28" t="s">
        <v>69</v>
      </c>
      <c r="P684" s="28" t="s">
        <v>146</v>
      </c>
      <c r="Q684" s="29">
        <f>(I684*25)/4</f>
        <v>0.33437499999999998</v>
      </c>
      <c r="R684" s="64">
        <v>47376</v>
      </c>
      <c r="S684" s="54" t="s">
        <v>41</v>
      </c>
      <c r="T684" s="50" t="s">
        <v>52</v>
      </c>
      <c r="U684" s="16">
        <f t="shared" ca="1" si="392"/>
        <v>4.1863013698630134</v>
      </c>
      <c r="V684" s="11" t="str">
        <v>All</v>
      </c>
      <c r="X684">
        <f t="shared" ca="1" si="369"/>
        <v>7.3167509391531799E-2</v>
      </c>
      <c r="Z684" s="17">
        <f t="shared" ca="1" si="370"/>
        <v>46213</v>
      </c>
      <c r="AG684" s="33">
        <f t="shared" ca="1" si="371"/>
        <v>6.3584777818609731E-2</v>
      </c>
      <c r="AH684">
        <f t="shared" ca="1" si="372"/>
        <v>5.7858848011697203E-2</v>
      </c>
      <c r="AI684">
        <f t="shared" ca="1" si="373"/>
        <v>5.6775192112758853E-2</v>
      </c>
      <c r="AJ684">
        <f t="shared" ca="1" si="374"/>
        <v>5.5968472992770572E-2</v>
      </c>
      <c r="AK684">
        <f t="shared" ca="1" si="375"/>
        <v>5.5056689513770685E-2</v>
      </c>
    </row>
    <row r="685" spans="1:37" ht="17.25" customHeight="1">
      <c r="A685" s="19"/>
      <c r="B685" s="84" t="s">
        <v>522</v>
      </c>
      <c r="C685" s="36" t="s">
        <v>27</v>
      </c>
      <c r="D685" s="36" t="s">
        <v>35</v>
      </c>
      <c r="E685" s="28" t="s">
        <v>110</v>
      </c>
      <c r="F685" s="36" t="s">
        <v>29</v>
      </c>
      <c r="G685" s="28" t="s">
        <v>38</v>
      </c>
      <c r="H685" s="23" t="str">
        <f>HYPERLINK("https://innovativeincomeinvestor.com/security/washington-federal-inc-4-875-fixed-rate-con-cumulative-perpetual-preferred-stock-series-a/","WAFDP")</f>
        <v>WAFDP</v>
      </c>
      <c r="I685" s="47">
        <v>4.8750000000000002E-2</v>
      </c>
      <c r="J685" s="65">
        <f ca="1">IFERROR(__xludf.DUMMYFUNCTION("GoogleFinance(H685)"),15.67)</f>
        <v>15.67</v>
      </c>
      <c r="K685" s="98">
        <f ca="1">IFERROR(__xludf.DUMMYFUNCTION("googlefinance(H685,""change"")"),-0.16)</f>
        <v>-0.16</v>
      </c>
      <c r="L685" s="27">
        <f t="shared" ca="1" si="391"/>
        <v>7.6579451180599875E-2</v>
      </c>
      <c r="M685" s="27">
        <f t="shared" ca="1" si="393"/>
        <v>0.5467726327819421</v>
      </c>
      <c r="N685" s="28" t="s">
        <v>31</v>
      </c>
      <c r="O685" s="28" t="s">
        <v>32</v>
      </c>
      <c r="P685" s="28" t="s">
        <v>83</v>
      </c>
      <c r="Q685" s="29">
        <v>0.3</v>
      </c>
      <c r="R685" s="64">
        <v>46127</v>
      </c>
      <c r="S685" s="54" t="s">
        <v>41</v>
      </c>
      <c r="T685" s="50" t="s">
        <v>60</v>
      </c>
      <c r="U685" s="16">
        <f t="shared" ca="1" si="392"/>
        <v>0.76438356164383559</v>
      </c>
      <c r="V685" s="11" t="str">
        <v>All</v>
      </c>
      <c r="X685">
        <f t="shared" ca="1" si="369"/>
        <v>0.56147289287248081</v>
      </c>
      <c r="Z685" s="17">
        <f t="shared" ca="1" si="370"/>
        <v>46213</v>
      </c>
      <c r="AG685" s="33">
        <f t="shared" ca="1" si="371"/>
        <v>0.30478059414758968</v>
      </c>
      <c r="AH685">
        <f t="shared" ca="1" si="372"/>
        <v>0.15819350398983009</v>
      </c>
      <c r="AI685">
        <f t="shared" ca="1" si="373"/>
        <v>0.1310580092674927</v>
      </c>
      <c r="AJ685">
        <f t="shared" ca="1" si="374"/>
        <v>0.11103053241304531</v>
      </c>
      <c r="AK685">
        <f t="shared" ca="1" si="375"/>
        <v>8.8820404939623829E-2</v>
      </c>
    </row>
    <row r="686" spans="1:37" ht="17.25" customHeight="1">
      <c r="A686" s="19"/>
      <c r="B686" s="45" t="s">
        <v>523</v>
      </c>
      <c r="C686" s="28" t="s">
        <v>27</v>
      </c>
      <c r="D686" s="36" t="s">
        <v>35</v>
      </c>
      <c r="E686" s="36" t="s">
        <v>110</v>
      </c>
      <c r="F686" s="36" t="s">
        <v>29</v>
      </c>
      <c r="G686" s="28" t="s">
        <v>38</v>
      </c>
      <c r="H686" s="63" t="str">
        <f>HYPERLINK("https://innovativeincomeinvestor.com/security/webster-financial-corporation-5-25-series-f-non-cumulative-perpetual-preferred-stock/","WBS-F")</f>
        <v>WBS-F</v>
      </c>
      <c r="I686" s="47">
        <v>5.2499999999999998E-2</v>
      </c>
      <c r="J686" s="65">
        <f ca="1">IFERROR(__xludf.DUMMYFUNCTION("GoogleFinance(H686)"),19.25)</f>
        <v>19.25</v>
      </c>
      <c r="K686" s="48">
        <f ca="1">IFERROR(__xludf.DUMMYFUNCTION("googlefinance(H686,""change"")"),0.13)</f>
        <v>0.13</v>
      </c>
      <c r="L686" s="27">
        <f t="shared" ca="1" si="391"/>
        <v>6.8181818181818177E-2</v>
      </c>
      <c r="M686" s="27">
        <f ca="1">(25-J686)/25</f>
        <v>0.23</v>
      </c>
      <c r="N686" s="28" t="s">
        <v>31</v>
      </c>
      <c r="O686" s="28" t="s">
        <v>30</v>
      </c>
      <c r="P686" s="28" t="s">
        <v>64</v>
      </c>
      <c r="Q686" s="29">
        <f t="shared" ref="Q686:Q687" si="394">(I686*25)/4</f>
        <v>0.328125</v>
      </c>
      <c r="R686" s="64">
        <v>44910</v>
      </c>
      <c r="S686" s="54" t="s">
        <v>41</v>
      </c>
      <c r="T686" s="62" t="s">
        <v>52</v>
      </c>
      <c r="U686" s="16">
        <f t="shared" ca="1" si="392"/>
        <v>-2.56986301369863</v>
      </c>
      <c r="V686" s="11" t="str">
        <v>All</v>
      </c>
      <c r="X686">
        <f t="shared" ca="1" si="369"/>
        <v>0.33214704086077496</v>
      </c>
      <c r="Z686" s="17">
        <f t="shared" ca="1" si="370"/>
        <v>46213</v>
      </c>
      <c r="AG686" s="33">
        <f t="shared" ca="1" si="371"/>
        <v>0.19397921688143099</v>
      </c>
      <c r="AH686">
        <f t="shared" ca="1" si="372"/>
        <v>0.11342760322531917</v>
      </c>
      <c r="AI686">
        <f t="shared" ca="1" si="373"/>
        <v>9.8369537644756685E-2</v>
      </c>
      <c r="AJ686">
        <f t="shared" ca="1" si="374"/>
        <v>8.7216072161739822E-2</v>
      </c>
      <c r="AK686">
        <f t="shared" ca="1" si="375"/>
        <v>7.4759475762821118E-2</v>
      </c>
    </row>
    <row r="687" spans="1:37" ht="17.25" customHeight="1">
      <c r="A687" s="19"/>
      <c r="B687" s="84" t="s">
        <v>524</v>
      </c>
      <c r="C687" s="28" t="s">
        <v>27</v>
      </c>
      <c r="D687" s="36" t="s">
        <v>35</v>
      </c>
      <c r="E687" s="36" t="s">
        <v>110</v>
      </c>
      <c r="F687" s="36" t="s">
        <v>29</v>
      </c>
      <c r="G687" s="28" t="s">
        <v>38</v>
      </c>
      <c r="H687" s="23" t="str">
        <f>HYPERLINK("https://innovativeincomeinvestor.com/security/wells-fargo-company-4-70-non-cumulative-perpetual-class-a-preferred-stock-series-aa/","WFC-A")</f>
        <v>WFC-A</v>
      </c>
      <c r="I687" s="47">
        <v>4.7E-2</v>
      </c>
      <c r="J687" s="65">
        <f ca="1">IFERROR(__xludf.DUMMYFUNCTION("GoogleFinance(H687)"),19.09)</f>
        <v>19.09</v>
      </c>
      <c r="K687" s="48">
        <f ca="1">IFERROR(__xludf.DUMMYFUNCTION("googlefinance(H687,""change"")"),-0.14)</f>
        <v>-0.14000000000000001</v>
      </c>
      <c r="L687" s="27">
        <f t="shared" ca="1" si="391"/>
        <v>6.1550550026191725E-2</v>
      </c>
      <c r="M687" s="27">
        <f t="array" aca="1" ref="M687" ca="1">L687*U687+(25-J687)/25/U687</f>
        <v>0.57275772378799805</v>
      </c>
      <c r="N687" s="28" t="s">
        <v>31</v>
      </c>
      <c r="O687" s="28" t="s">
        <v>30</v>
      </c>
      <c r="P687" s="28" t="s">
        <v>64</v>
      </c>
      <c r="Q687" s="29">
        <f t="shared" si="394"/>
        <v>0.29375000000000001</v>
      </c>
      <c r="R687" s="64">
        <v>46006</v>
      </c>
      <c r="S687" s="54" t="s">
        <v>41</v>
      </c>
      <c r="T687" s="62" t="s">
        <v>52</v>
      </c>
      <c r="U687" s="16">
        <f t="shared" ca="1" si="392"/>
        <v>0.43287671232876712</v>
      </c>
      <c r="V687" s="11" t="str">
        <v>All</v>
      </c>
      <c r="X687">
        <f t="shared" ca="1" si="369"/>
        <v>0.33486086220088612</v>
      </c>
      <c r="Z687" s="17">
        <f t="shared" ca="1" si="370"/>
        <v>46213</v>
      </c>
      <c r="AG687" s="33">
        <f t="shared" ca="1" si="371"/>
        <v>0.19214586336530212</v>
      </c>
      <c r="AH687">
        <f t="shared" ca="1" si="372"/>
        <v>0.10897631588830178</v>
      </c>
      <c r="AI687">
        <f t="shared" ca="1" si="373"/>
        <v>9.3412503013611897E-2</v>
      </c>
      <c r="AJ687">
        <f t="shared" ca="1" si="374"/>
        <v>8.1862151445824913E-2</v>
      </c>
      <c r="AK687">
        <f t="shared" ca="1" si="375"/>
        <v>6.8865467977723527E-2</v>
      </c>
    </row>
    <row r="688" spans="1:37" ht="17.25" customHeight="1">
      <c r="A688" s="68"/>
      <c r="B688" s="69" t="s">
        <v>524</v>
      </c>
      <c r="C688" s="28" t="s">
        <v>27</v>
      </c>
      <c r="D688" s="28" t="s">
        <v>35</v>
      </c>
      <c r="E688" s="28" t="s">
        <v>110</v>
      </c>
      <c r="F688" s="36" t="s">
        <v>29</v>
      </c>
      <c r="G688" s="28" t="s">
        <v>38</v>
      </c>
      <c r="H688" s="83" t="str">
        <f>HYPERLINK("https://innovativeincomeinvestor.com/security/wells-fargo-company-5-625-non-cumulative-perpetual-class-a-preferred-stock-series-y/","WFC-Y")</f>
        <v>WFC-Y</v>
      </c>
      <c r="I688" s="47">
        <v>5.6250000000000001E-2</v>
      </c>
      <c r="J688" s="65">
        <f ca="1">IFERROR(__xludf.DUMMYFUNCTION("GoogleFinance(H688)"),23.43)</f>
        <v>23.43</v>
      </c>
      <c r="K688" s="67">
        <f ca="1">IFERROR(__xludf.DUMMYFUNCTION("googlefinance(H688,""change"")"),-0.18)</f>
        <v>-0.18</v>
      </c>
      <c r="L688" s="27">
        <f t="shared" ca="1" si="391"/>
        <v>5.9752454118651301E-2</v>
      </c>
      <c r="M688" s="27">
        <f ca="1">(25-J688)/25</f>
        <v>6.2800000000000009E-2</v>
      </c>
      <c r="N688" s="28" t="s">
        <v>39</v>
      </c>
      <c r="O688" s="28" t="s">
        <v>69</v>
      </c>
      <c r="P688" s="28" t="s">
        <v>76</v>
      </c>
      <c r="Q688" s="29">
        <v>0.35</v>
      </c>
      <c r="R688" s="64">
        <v>44727</v>
      </c>
      <c r="S688" s="54" t="s">
        <v>41</v>
      </c>
      <c r="T688" s="62" t="s">
        <v>52</v>
      </c>
      <c r="U688" s="16">
        <f t="shared" ca="1" si="392"/>
        <v>-3.0712328767123287</v>
      </c>
      <c r="V688" s="11" t="str">
        <v>All</v>
      </c>
      <c r="X688">
        <f t="shared" ca="1" si="369"/>
        <v>0.12399090543741169</v>
      </c>
      <c r="Z688" s="17">
        <f t="shared" ca="1" si="370"/>
        <v>46213</v>
      </c>
      <c r="AG688" s="33">
        <f t="shared" ca="1" si="371"/>
        <v>9.0946920141176821E-2</v>
      </c>
      <c r="AH688">
        <f t="shared" ca="1" si="372"/>
        <v>7.1298602937831551E-2</v>
      </c>
      <c r="AI688">
        <f t="shared" ca="1" si="373"/>
        <v>6.7591336788959844E-2</v>
      </c>
      <c r="AJ688">
        <f t="shared" ca="1" si="374"/>
        <v>6.4836432503855929E-2</v>
      </c>
      <c r="AK688">
        <f t="shared" ca="1" si="375"/>
        <v>6.1740642524510475E-2</v>
      </c>
    </row>
    <row r="689" spans="1:37" ht="17.25" customHeight="1">
      <c r="A689" s="68"/>
      <c r="B689" s="69" t="s">
        <v>524</v>
      </c>
      <c r="C689" s="28" t="s">
        <v>27</v>
      </c>
      <c r="D689" s="28" t="s">
        <v>35</v>
      </c>
      <c r="E689" s="28" t="s">
        <v>110</v>
      </c>
      <c r="F689" s="36" t="s">
        <v>29</v>
      </c>
      <c r="G689" s="28" t="s">
        <v>38</v>
      </c>
      <c r="H689" s="83" t="str">
        <f>HYPERLINK("https://innovativeincomeinvestor.com/security/wells-fargo-company-4-75-non-cumulative-class-a-preferred-stock-series-z/","WFC-Z")</f>
        <v>WFC-Z</v>
      </c>
      <c r="I689" s="47">
        <v>4.7500000000000001E-2</v>
      </c>
      <c r="J689" s="96">
        <f ca="1">IFERROR(__xludf.DUMMYFUNCTION("GoogleFinance(H689)"),19.27)</f>
        <v>19.27</v>
      </c>
      <c r="K689" s="113">
        <f ca="1">IFERROR(__xludf.DUMMYFUNCTION("googlefinance(H689,""change"")"),-0.11)</f>
        <v>-0.11</v>
      </c>
      <c r="L689" s="97">
        <f t="shared" ca="1" si="391"/>
        <v>6.2272963155163466E-2</v>
      </c>
      <c r="M689" s="97">
        <f t="shared" ref="M689:M691" ca="1" si="395">L689*U689+(25-J689)/25/U689</f>
        <v>-0.73498711140688522</v>
      </c>
      <c r="N689" s="28" t="s">
        <v>39</v>
      </c>
      <c r="O689" s="28" t="s">
        <v>69</v>
      </c>
      <c r="P689" s="28" t="s">
        <v>76</v>
      </c>
      <c r="Q689" s="29">
        <v>0.3</v>
      </c>
      <c r="R689" s="64">
        <v>45731</v>
      </c>
      <c r="S689" s="28" t="s">
        <v>41</v>
      </c>
      <c r="T689" s="62" t="s">
        <v>52</v>
      </c>
      <c r="U689" s="16">
        <f t="shared" ca="1" si="392"/>
        <v>-0.32054794520547947</v>
      </c>
      <c r="V689" s="11" t="str">
        <v>All</v>
      </c>
      <c r="X689">
        <f t="shared" ca="1" si="369"/>
        <v>0.32508459200600076</v>
      </c>
      <c r="Z689" s="17">
        <f t="shared" ca="1" si="370"/>
        <v>46213</v>
      </c>
      <c r="AG689" s="33">
        <f t="shared" ca="1" si="371"/>
        <v>0.18757282266975139</v>
      </c>
      <c r="AH689">
        <f t="shared" ca="1" si="372"/>
        <v>0.10736218644974846</v>
      </c>
      <c r="AI689">
        <f t="shared" ca="1" si="373"/>
        <v>9.2346803635537059E-2</v>
      </c>
      <c r="AJ689">
        <f t="shared" ca="1" si="374"/>
        <v>8.1203176159809098E-2</v>
      </c>
      <c r="AK689">
        <f t="shared" ca="1" si="375"/>
        <v>6.8666734029730031E-2</v>
      </c>
    </row>
    <row r="690" spans="1:37" ht="17.25" customHeight="1">
      <c r="A690" s="68"/>
      <c r="B690" s="69" t="s">
        <v>524</v>
      </c>
      <c r="C690" s="28" t="s">
        <v>27</v>
      </c>
      <c r="D690" s="28" t="s">
        <v>35</v>
      </c>
      <c r="E690" s="28" t="s">
        <v>110</v>
      </c>
      <c r="F690" s="36" t="s">
        <v>29</v>
      </c>
      <c r="G690" s="28" t="s">
        <v>38</v>
      </c>
      <c r="H690" s="51" t="str">
        <f>HYPERLINK("https://innovativeincomeinvestor.com/security/wells-fargo-company-4-375-non-cumulative-perpetual-class-a-preferred-stock-series-cc/","WFC-C")</f>
        <v>WFC-C</v>
      </c>
      <c r="I690" s="47">
        <v>4.3749999999999997E-2</v>
      </c>
      <c r="J690" s="96">
        <f ca="1">IFERROR(__xludf.DUMMYFUNCTION("GoogleFinance(H690)"),17.85)</f>
        <v>17.850000000000001</v>
      </c>
      <c r="K690" s="113">
        <f ca="1">IFERROR(__xludf.DUMMYFUNCTION("googlefinance(H690,""change"")"),-0.1)</f>
        <v>-0.1</v>
      </c>
      <c r="L690" s="97">
        <f t="shared" ca="1" si="391"/>
        <v>6.0504201680672269E-2</v>
      </c>
      <c r="M690" s="97">
        <f t="shared" ca="1" si="395"/>
        <v>0.46203712351047349</v>
      </c>
      <c r="N690" s="28" t="s">
        <v>39</v>
      </c>
      <c r="O690" s="28" t="s">
        <v>69</v>
      </c>
      <c r="P690" s="28" t="s">
        <v>76</v>
      </c>
      <c r="Q690" s="29">
        <v>0.27</v>
      </c>
      <c r="R690" s="64">
        <v>46096</v>
      </c>
      <c r="S690" s="28" t="s">
        <v>41</v>
      </c>
      <c r="T690" s="62" t="s">
        <v>52</v>
      </c>
      <c r="U690" s="16">
        <f t="shared" ca="1" si="392"/>
        <v>0.67945205479452053</v>
      </c>
      <c r="V690" s="11" t="str">
        <v>All</v>
      </c>
      <c r="X690">
        <f t="shared" ca="1" si="369"/>
        <v>0.40577766743378291</v>
      </c>
      <c r="Z690" s="17">
        <f t="shared" ca="1" si="370"/>
        <v>46213</v>
      </c>
      <c r="AG690" s="33">
        <f t="shared" ca="1" si="371"/>
        <v>0.22530578042137966</v>
      </c>
      <c r="AH690">
        <f t="shared" ca="1" si="372"/>
        <v>0.1208217543648295</v>
      </c>
      <c r="AI690">
        <f t="shared" ca="1" si="373"/>
        <v>0.10131978532609685</v>
      </c>
      <c r="AJ690">
        <f t="shared" ca="1" si="374"/>
        <v>8.6850795638244063E-2</v>
      </c>
      <c r="AK690">
        <f t="shared" ca="1" si="375"/>
        <v>7.0551282818743899E-2</v>
      </c>
    </row>
    <row r="691" spans="1:37" ht="17.25" customHeight="1">
      <c r="A691" s="68"/>
      <c r="B691" s="69" t="s">
        <v>524</v>
      </c>
      <c r="C691" s="28" t="s">
        <v>27</v>
      </c>
      <c r="D691" s="28" t="s">
        <v>35</v>
      </c>
      <c r="E691" s="28" t="s">
        <v>110</v>
      </c>
      <c r="F691" s="36" t="s">
        <v>29</v>
      </c>
      <c r="G691" s="28" t="s">
        <v>38</v>
      </c>
      <c r="H691" s="55" t="str">
        <f>HYPERLINK("https://innovativeincomeinvestor.com/security/wells-fargo-company-4-25-non-cumulative-perpetual-class-a-preferred-stock-series-dd/","WFC-D")</f>
        <v>WFC-D</v>
      </c>
      <c r="I691" s="47">
        <v>4.2500000000000003E-2</v>
      </c>
      <c r="J691" s="96">
        <f ca="1">IFERROR(__xludf.DUMMYFUNCTION("GoogleFinance(H691)"),17.52)</f>
        <v>17.52</v>
      </c>
      <c r="K691" s="113">
        <f ca="1">IFERROR(__xludf.DUMMYFUNCTION("googlefinance(H691,""change"")"),-0.08)</f>
        <v>-0.08</v>
      </c>
      <c r="L691" s="97">
        <f t="shared" ca="1" si="391"/>
        <v>6.164383561643836E-2</v>
      </c>
      <c r="M691" s="97">
        <f t="shared" ca="1" si="395"/>
        <v>0.32575557571082059</v>
      </c>
      <c r="N691" s="28" t="s">
        <v>39</v>
      </c>
      <c r="O691" s="28" t="s">
        <v>69</v>
      </c>
      <c r="P691" s="28" t="s">
        <v>76</v>
      </c>
      <c r="Q691" s="29">
        <v>0.27</v>
      </c>
      <c r="R691" s="64">
        <v>46280</v>
      </c>
      <c r="S691" s="28" t="s">
        <v>41</v>
      </c>
      <c r="T691" s="62" t="s">
        <v>52</v>
      </c>
      <c r="U691" s="16">
        <f t="shared" ca="1" si="392"/>
        <v>1.1835616438356165</v>
      </c>
      <c r="V691" s="11" t="str">
        <v>All</v>
      </c>
      <c r="X691">
        <f t="shared" ca="1" si="369"/>
        <v>0.42522145266404282</v>
      </c>
      <c r="Z691" s="17">
        <f t="shared" ca="1" si="370"/>
        <v>46213</v>
      </c>
      <c r="AG691" s="33">
        <f t="shared" ca="1" si="371"/>
        <v>0.23410527076540114</v>
      </c>
      <c r="AH691">
        <f t="shared" ca="1" si="372"/>
        <v>0.12365765296501154</v>
      </c>
      <c r="AI691">
        <f t="shared" ca="1" si="373"/>
        <v>0.10305546089680377</v>
      </c>
      <c r="AJ691">
        <f t="shared" ca="1" si="374"/>
        <v>8.7769280789923604E-2</v>
      </c>
      <c r="AK691">
        <f t="shared" ca="1" si="375"/>
        <v>7.0534710010818708E-2</v>
      </c>
    </row>
    <row r="692" spans="1:37" ht="17.25" customHeight="1">
      <c r="A692" s="19"/>
      <c r="B692" s="84" t="s">
        <v>524</v>
      </c>
      <c r="C692" s="28" t="s">
        <v>27</v>
      </c>
      <c r="D692" s="36" t="s">
        <v>35</v>
      </c>
      <c r="E692" s="36" t="s">
        <v>110</v>
      </c>
      <c r="F692" s="28" t="s">
        <v>46</v>
      </c>
      <c r="G692" s="28" t="s">
        <v>38</v>
      </c>
      <c r="H692" s="94" t="str">
        <f>HYPERLINK("https://innovativeincomeinvestor.com/security/wells-fargo-co-6-625-dep-shares-fixedfloat-non-cumul-perp-pfd-stock-ser-r/","WFC-R")</f>
        <v>WFC-R</v>
      </c>
      <c r="I692" s="47">
        <v>6.6250000000000003E-2</v>
      </c>
      <c r="J692" s="86" t="s">
        <v>68</v>
      </c>
      <c r="K692" s="86" t="s">
        <v>68</v>
      </c>
      <c r="L692" s="86" t="s">
        <v>68</v>
      </c>
      <c r="M692" s="86" t="s">
        <v>68</v>
      </c>
      <c r="N692" s="28" t="s">
        <v>39</v>
      </c>
      <c r="O692" s="28" t="s">
        <v>69</v>
      </c>
      <c r="P692" s="28" t="s">
        <v>76</v>
      </c>
      <c r="Q692" s="29">
        <f>(I692*25)/4</f>
        <v>0.4140625</v>
      </c>
      <c r="R692" s="64">
        <v>45366</v>
      </c>
      <c r="S692" s="54" t="s">
        <v>41</v>
      </c>
      <c r="T692" s="62" t="s">
        <v>52</v>
      </c>
      <c r="U692" s="16">
        <f t="shared" ca="1" si="392"/>
        <v>-1.3205479452054794</v>
      </c>
      <c r="V692" s="11" t="str">
        <v>All</v>
      </c>
      <c r="X692" t="e">
        <f t="shared" ca="1" si="369"/>
        <v>#VALUE!</v>
      </c>
      <c r="Z692" s="17">
        <f t="shared" ca="1" si="370"/>
        <v>46213</v>
      </c>
      <c r="AG692" s="33" t="e">
        <f t="shared" ca="1" si="371"/>
        <v>#VALUE!</v>
      </c>
      <c r="AH692" t="e">
        <f t="shared" ca="1" si="372"/>
        <v>#VALUE!</v>
      </c>
      <c r="AI692" t="e">
        <f t="shared" ca="1" si="373"/>
        <v>#VALUE!</v>
      </c>
      <c r="AJ692" t="e">
        <f t="shared" ca="1" si="374"/>
        <v>#VALUE!</v>
      </c>
      <c r="AK692" t="e">
        <f t="shared" ca="1" si="375"/>
        <v>#VALUE!</v>
      </c>
    </row>
    <row r="693" spans="1:37" ht="17.25" customHeight="1">
      <c r="A693" s="19"/>
      <c r="B693" s="84" t="s">
        <v>524</v>
      </c>
      <c r="C693" s="28" t="s">
        <v>27</v>
      </c>
      <c r="D693" s="36" t="s">
        <v>35</v>
      </c>
      <c r="E693" s="36" t="s">
        <v>110</v>
      </c>
      <c r="F693" s="28" t="s">
        <v>46</v>
      </c>
      <c r="G693" s="28" t="s">
        <v>38</v>
      </c>
      <c r="H693" s="94" t="str">
        <f>HYPERLINK("https://innovativeincomeinvestor.com/security/wells-fargo-co-5-85-dep-shares-fixedfloat-non-cumul-perp-pfd-stock-ser-q/","WFC-Q")</f>
        <v>WFC-Q</v>
      </c>
      <c r="I693" s="47">
        <v>5.8500000000000003E-2</v>
      </c>
      <c r="J693" s="67" t="s">
        <v>68</v>
      </c>
      <c r="K693" s="67" t="s">
        <v>68</v>
      </c>
      <c r="L693" s="67" t="s">
        <v>68</v>
      </c>
      <c r="M693" s="67" t="s">
        <v>68</v>
      </c>
      <c r="N693" s="28" t="s">
        <v>39</v>
      </c>
      <c r="O693" s="28" t="s">
        <v>69</v>
      </c>
      <c r="P693" s="28" t="s">
        <v>76</v>
      </c>
      <c r="Q693" s="29">
        <v>0.37</v>
      </c>
      <c r="R693" s="64">
        <v>45184</v>
      </c>
      <c r="S693" s="54" t="s">
        <v>41</v>
      </c>
      <c r="T693" s="62" t="s">
        <v>52</v>
      </c>
      <c r="U693" s="16">
        <f t="shared" ca="1" si="392"/>
        <v>-1.8191780821917809</v>
      </c>
      <c r="V693" s="11" t="str">
        <v>All</v>
      </c>
      <c r="X693" t="e">
        <f t="shared" ca="1" si="369"/>
        <v>#VALUE!</v>
      </c>
      <c r="Z693" s="17">
        <f t="shared" ca="1" si="370"/>
        <v>46213</v>
      </c>
      <c r="AG693" s="33" t="e">
        <f t="shared" ca="1" si="371"/>
        <v>#VALUE!</v>
      </c>
      <c r="AH693" t="e">
        <f t="shared" ca="1" si="372"/>
        <v>#VALUE!</v>
      </c>
      <c r="AI693" t="e">
        <f t="shared" ca="1" si="373"/>
        <v>#VALUE!</v>
      </c>
      <c r="AJ693" t="e">
        <f t="shared" ca="1" si="374"/>
        <v>#VALUE!</v>
      </c>
      <c r="AK693" t="e">
        <f t="shared" ca="1" si="375"/>
        <v>#VALUE!</v>
      </c>
    </row>
    <row r="694" spans="1:37" ht="17.25" customHeight="1">
      <c r="A694" s="68"/>
      <c r="B694" s="69" t="s">
        <v>525</v>
      </c>
      <c r="C694" s="28" t="s">
        <v>27</v>
      </c>
      <c r="D694" s="28" t="s">
        <v>35</v>
      </c>
      <c r="E694" s="28" t="s">
        <v>110</v>
      </c>
      <c r="F694" s="36" t="s">
        <v>61</v>
      </c>
      <c r="G694" s="28" t="s">
        <v>38</v>
      </c>
      <c r="H694" s="51" t="str">
        <f>HYPERLINK("https://innovativeincomeinvestor.com/security/wesbanco-inc-6-75-fixed-rate-reset-non-cumulative-perpetual-preferred-stock-series-a/","WSBCP")</f>
        <v>WSBCP</v>
      </c>
      <c r="I694" s="47">
        <v>6.7500000000000004E-2</v>
      </c>
      <c r="J694" s="65">
        <f ca="1">IFERROR(__xludf.DUMMYFUNCTION("GoogleFinance(H694)"),25.33)</f>
        <v>25.33</v>
      </c>
      <c r="K694" s="48">
        <f ca="1">IFERROR(__xludf.DUMMYFUNCTION("googlefinance(H694,""change"")"),0.02)</f>
        <v>0.02</v>
      </c>
      <c r="L694" s="27">
        <f ca="1">(Q694*4)/J694</f>
        <v>6.6324516383734711E-2</v>
      </c>
      <c r="M694" s="27">
        <f t="shared" ref="M694:M700" ca="1" si="396">L694*U694+(25-J694)/25/U694</f>
        <v>-1.4381616514744896E-2</v>
      </c>
      <c r="N694" s="28" t="s">
        <v>31</v>
      </c>
      <c r="O694" s="28" t="s">
        <v>32</v>
      </c>
      <c r="P694" s="28" t="s">
        <v>32</v>
      </c>
      <c r="Q694" s="29">
        <v>0.42</v>
      </c>
      <c r="R694" s="64">
        <v>45976</v>
      </c>
      <c r="S694" s="28" t="s">
        <v>41</v>
      </c>
      <c r="T694" s="62" t="s">
        <v>33</v>
      </c>
      <c r="U694" s="16">
        <f t="shared" ca="1" si="392"/>
        <v>0.35068493150684932</v>
      </c>
      <c r="V694" s="11" t="str">
        <v>All</v>
      </c>
      <c r="X694">
        <f t="shared" ca="1" si="369"/>
        <v>5.3852744217582085E-2</v>
      </c>
      <c r="Z694" s="17">
        <f t="shared" ca="1" si="370"/>
        <v>46213</v>
      </c>
      <c r="AG694" s="33">
        <f t="shared" ca="1" si="371"/>
        <v>6.0443357274186191E-2</v>
      </c>
      <c r="AH694">
        <f t="shared" ca="1" si="372"/>
        <v>6.4389439998289361E-2</v>
      </c>
      <c r="AI694">
        <f t="shared" ca="1" si="373"/>
        <v>6.5134776208449E-2</v>
      </c>
      <c r="AJ694">
        <f t="shared" ca="1" si="374"/>
        <v>6.568778016062625E-2</v>
      </c>
      <c r="AK694">
        <f t="shared" ca="1" si="375"/>
        <v>6.6302624277780192E-2</v>
      </c>
    </row>
    <row r="695" spans="1:37" ht="17.25" customHeight="1">
      <c r="A695" s="68"/>
      <c r="B695" s="69" t="s">
        <v>526</v>
      </c>
      <c r="C695" s="28" t="s">
        <v>35</v>
      </c>
      <c r="D695" s="28" t="s">
        <v>35</v>
      </c>
      <c r="E695" s="28" t="s">
        <v>67</v>
      </c>
      <c r="F695" s="36" t="s">
        <v>61</v>
      </c>
      <c r="G695" s="28" t="s">
        <v>38</v>
      </c>
      <c r="H695" s="51" t="str">
        <f>HYPERLINK("https://innovativeincomeinvestor.com/security/wesco-international-10-625-fixed-rate-reset-cumulative-preferred-stock/","WCC-A")</f>
        <v>WCC-A</v>
      </c>
      <c r="I695" s="47">
        <v>0.10625</v>
      </c>
      <c r="J695" s="79" t="s">
        <v>68</v>
      </c>
      <c r="K695" s="80" t="s">
        <v>68</v>
      </c>
      <c r="L695" s="81" t="s">
        <v>68</v>
      </c>
      <c r="M695" s="27" t="e">
        <f t="shared" ca="1" si="396"/>
        <v>#VALUE!</v>
      </c>
      <c r="N695" s="28" t="s">
        <v>31</v>
      </c>
      <c r="O695" s="28" t="s">
        <v>32</v>
      </c>
      <c r="P695" s="28" t="s">
        <v>32</v>
      </c>
      <c r="Q695" s="29">
        <f t="shared" ref="Q695:Q696" si="397">(I695*25)/4</f>
        <v>0.6640625</v>
      </c>
      <c r="R695" s="64">
        <v>45830</v>
      </c>
      <c r="S695" s="28" t="s">
        <v>41</v>
      </c>
      <c r="T695" s="62" t="s">
        <v>42</v>
      </c>
      <c r="U695" s="16">
        <f t="shared" ca="1" si="392"/>
        <v>-4.9315068493150684E-2</v>
      </c>
      <c r="V695" s="11" t="str">
        <v>All</v>
      </c>
      <c r="X695" t="e">
        <f t="shared" ca="1" si="369"/>
        <v>#VALUE!</v>
      </c>
      <c r="Z695" s="17">
        <f t="shared" ca="1" si="370"/>
        <v>46213</v>
      </c>
      <c r="AG695" s="33" t="e">
        <f t="shared" ca="1" si="371"/>
        <v>#VALUE!</v>
      </c>
      <c r="AH695" t="e">
        <f t="shared" ca="1" si="372"/>
        <v>#VALUE!</v>
      </c>
      <c r="AI695" t="e">
        <f t="shared" ca="1" si="373"/>
        <v>#VALUE!</v>
      </c>
      <c r="AJ695" t="e">
        <f t="shared" ca="1" si="374"/>
        <v>#VALUE!</v>
      </c>
      <c r="AK695" t="e">
        <f t="shared" ca="1" si="375"/>
        <v>#VALUE!</v>
      </c>
    </row>
    <row r="696" spans="1:37" ht="17.25" customHeight="1">
      <c r="A696" s="19"/>
      <c r="B696" s="45" t="s">
        <v>527</v>
      </c>
      <c r="C696" s="28" t="s">
        <v>27</v>
      </c>
      <c r="D696" s="36" t="s">
        <v>35</v>
      </c>
      <c r="E696" s="36" t="s">
        <v>110</v>
      </c>
      <c r="F696" s="36" t="s">
        <v>29</v>
      </c>
      <c r="G696" s="36" t="s">
        <v>38</v>
      </c>
      <c r="H696" s="55" t="str">
        <f>HYPERLINK("https://innovativeincomeinvestor.com/security/western-alliance-bank-corporation-4-25-fixed-rate-reset-non-cumulative-perpetual-preferred-stock-series-a/","WAL-A")</f>
        <v>WAL-A</v>
      </c>
      <c r="I696" s="47">
        <v>4.2500000000000003E-2</v>
      </c>
      <c r="J696" s="26">
        <f ca="1">IFERROR(__xludf.DUMMYFUNCTION("GOOGLEFINANCE(H696)"),22.25)</f>
        <v>22.25</v>
      </c>
      <c r="K696" s="26">
        <f ca="1">IFERROR(__xludf.DUMMYFUNCTION("GOOGLEFINANCE(H696,""change"")"),0)</f>
        <v>0</v>
      </c>
      <c r="L696" s="27">
        <f t="shared" ref="L696:L697" ca="1" si="398">Q696*4/J696</f>
        <v>4.7752808988764044E-2</v>
      </c>
      <c r="M696" s="27">
        <f t="shared" ca="1" si="396"/>
        <v>0.14830186639230153</v>
      </c>
      <c r="N696" s="28" t="s">
        <v>31</v>
      </c>
      <c r="O696" s="28" t="s">
        <v>32</v>
      </c>
      <c r="P696" s="28" t="s">
        <v>367</v>
      </c>
      <c r="Q696" s="29">
        <f t="shared" si="397"/>
        <v>0.265625</v>
      </c>
      <c r="R696" s="64">
        <v>46295</v>
      </c>
      <c r="S696" s="36" t="s">
        <v>41</v>
      </c>
      <c r="T696" s="50" t="s">
        <v>56</v>
      </c>
      <c r="U696" s="16">
        <f t="shared" ca="1" si="392"/>
        <v>1.2246575342465753</v>
      </c>
      <c r="V696" s="11" t="str">
        <v>All</v>
      </c>
      <c r="X696">
        <f t="shared" ca="1" si="369"/>
        <v>0.16400153068917128</v>
      </c>
      <c r="Z696" s="17">
        <f t="shared" ca="1" si="370"/>
        <v>46213</v>
      </c>
      <c r="AG696" s="33">
        <f t="shared" ca="1" si="371"/>
        <v>0.10413651217360627</v>
      </c>
      <c r="AH696">
        <f t="shared" ca="1" si="372"/>
        <v>6.8692454680019541E-2</v>
      </c>
      <c r="AI696">
        <f t="shared" ca="1" si="373"/>
        <v>6.2001969645881928E-2</v>
      </c>
      <c r="AJ696">
        <f t="shared" ca="1" si="374"/>
        <v>5.7014064053170728E-2</v>
      </c>
      <c r="AK696">
        <f t="shared" ca="1" si="375"/>
        <v>5.1333729301159689E-2</v>
      </c>
    </row>
    <row r="697" spans="1:37" ht="17.25" customHeight="1">
      <c r="A697" s="19"/>
      <c r="B697" s="45" t="s">
        <v>528</v>
      </c>
      <c r="C697" s="28" t="s">
        <v>27</v>
      </c>
      <c r="D697" s="36" t="s">
        <v>27</v>
      </c>
      <c r="E697" s="36" t="s">
        <v>171</v>
      </c>
      <c r="F697" s="28" t="s">
        <v>29</v>
      </c>
      <c r="G697" s="28" t="s">
        <v>30</v>
      </c>
      <c r="H697" s="23" t="str">
        <f>HYPERLINK("https://innovativeincomeinvestor.com/security/whitehorse-finance-inc-7-875-notes-due-2028/","WHFCL")</f>
        <v>WHFCL</v>
      </c>
      <c r="I697" s="47">
        <v>7.8750000000000001E-2</v>
      </c>
      <c r="J697" s="26">
        <f ca="1">IFERROR(__xludf.DUMMYFUNCTION("GOOGLEFINANCE(H697)"),25.15)</f>
        <v>25.15</v>
      </c>
      <c r="K697" s="26">
        <f ca="1">IFERROR(__xludf.DUMMYFUNCTION("GOOGLEFINANCE(H697,""change"")"),0)</f>
        <v>0</v>
      </c>
      <c r="L697" s="27">
        <f t="shared" ca="1" si="398"/>
        <v>7.8250497017892648E-2</v>
      </c>
      <c r="M697" s="27">
        <f t="shared" ca="1" si="396"/>
        <v>-1.8322777300620419E-2</v>
      </c>
      <c r="N697" s="28" t="s">
        <v>31</v>
      </c>
      <c r="O697" s="28" t="s">
        <v>32</v>
      </c>
      <c r="P697" s="28" t="s">
        <v>32</v>
      </c>
      <c r="Q697" s="29">
        <v>0.49199999999999999</v>
      </c>
      <c r="R697" s="64">
        <v>45915</v>
      </c>
      <c r="S697" s="61">
        <v>47011</v>
      </c>
      <c r="T697" s="50" t="s">
        <v>52</v>
      </c>
      <c r="U697" s="16">
        <f t="shared" ca="1" si="392"/>
        <v>0.18356164383561643</v>
      </c>
      <c r="V697" s="11" t="str">
        <v>All</v>
      </c>
      <c r="X697">
        <f t="shared" ca="1" si="369"/>
        <v>7.2475775882950594E-2</v>
      </c>
      <c r="Z697" s="17">
        <f t="shared" ca="1" si="370"/>
        <v>46213</v>
      </c>
      <c r="AG697" s="33">
        <f t="shared" ca="1" si="371"/>
        <v>7.5489667106208941E-2</v>
      </c>
      <c r="AH697">
        <f t="shared" ca="1" si="372"/>
        <v>7.7290648210595184E-2</v>
      </c>
      <c r="AI697">
        <f t="shared" ca="1" si="373"/>
        <v>7.7629452059343337E-2</v>
      </c>
      <c r="AJ697">
        <f t="shared" ca="1" si="374"/>
        <v>7.78798804364145E-2</v>
      </c>
      <c r="AK697">
        <f t="shared" ca="1" si="375"/>
        <v>7.8153251895933903E-2</v>
      </c>
    </row>
    <row r="698" spans="1:37" ht="17.25" customHeight="1">
      <c r="A698" s="19"/>
      <c r="B698" s="45" t="s">
        <v>529</v>
      </c>
      <c r="C698" s="28" t="s">
        <v>27</v>
      </c>
      <c r="D698" s="36" t="s">
        <v>35</v>
      </c>
      <c r="E698" s="36" t="s">
        <v>110</v>
      </c>
      <c r="F698" s="28" t="s">
        <v>46</v>
      </c>
      <c r="G698" s="28" t="s">
        <v>38</v>
      </c>
      <c r="H698" s="63" t="str">
        <f>HYPERLINK("https://innovativeincomeinvestor.com/security/wintrust-financial-corp-6-50-fixedfloat-non-cumul-perp-preferred-stk-ser-d/","WTFCM")</f>
        <v>WTFCM</v>
      </c>
      <c r="I698" s="47">
        <v>6.5000000000000002E-2</v>
      </c>
      <c r="J698" s="65">
        <f ca="1">IFERROR(__xludf.DUMMYFUNCTION("GoogleFinance(H698)"),24.97)</f>
        <v>24.97</v>
      </c>
      <c r="K698" s="67">
        <f ca="1">IFERROR(__xludf.DUMMYFUNCTION("googlefinance(H698,""change"")"),0.01)</f>
        <v>0.01</v>
      </c>
      <c r="L698" s="27">
        <f t="shared" ref="L698:L700" ca="1" si="399">(Q698*4)/J698</f>
        <v>6.5078093712454946E-2</v>
      </c>
      <c r="M698" s="27">
        <f t="shared" ca="1" si="396"/>
        <v>8.8491480735790384E-2</v>
      </c>
      <c r="N698" s="28" t="s">
        <v>31</v>
      </c>
      <c r="O698" s="28" t="s">
        <v>32</v>
      </c>
      <c r="P698" s="28" t="s">
        <v>32</v>
      </c>
      <c r="Q698" s="29">
        <f t="shared" ref="Q698:Q699" si="400">(I698*25)/4</f>
        <v>0.40625</v>
      </c>
      <c r="R698" s="64">
        <v>45853</v>
      </c>
      <c r="S698" s="54" t="s">
        <v>41</v>
      </c>
      <c r="T698" s="50" t="s">
        <v>60</v>
      </c>
      <c r="U698" s="16">
        <f t="shared" ca="1" si="392"/>
        <v>1.3698630136986301E-2</v>
      </c>
      <c r="V698" s="11" t="str">
        <v>All</v>
      </c>
      <c r="X698">
        <f t="shared" ca="1" si="369"/>
        <v>6.6250095590476801E-2</v>
      </c>
      <c r="Z698" s="17">
        <f t="shared" ca="1" si="370"/>
        <v>46213</v>
      </c>
      <c r="AG698" s="33">
        <f t="shared" ca="1" si="371"/>
        <v>6.564515172215768E-2</v>
      </c>
      <c r="AH698">
        <f t="shared" ca="1" si="372"/>
        <v>6.5283026014119963E-2</v>
      </c>
      <c r="AI698">
        <f t="shared" ca="1" si="373"/>
        <v>6.5214518632095375E-2</v>
      </c>
      <c r="AJ698">
        <f t="shared" ca="1" si="374"/>
        <v>6.5163931528310889E-2</v>
      </c>
      <c r="AK698">
        <f t="shared" ca="1" si="375"/>
        <v>6.5107155939015018E-2</v>
      </c>
    </row>
    <row r="699" spans="1:37" ht="17.25" customHeight="1">
      <c r="A699" s="19"/>
      <c r="B699" s="45" t="s">
        <v>529</v>
      </c>
      <c r="C699" s="28" t="s">
        <v>27</v>
      </c>
      <c r="D699" s="28" t="s">
        <v>35</v>
      </c>
      <c r="E699" s="28" t="s">
        <v>110</v>
      </c>
      <c r="F699" s="28" t="s">
        <v>61</v>
      </c>
      <c r="G699" s="28" t="s">
        <v>38</v>
      </c>
      <c r="H699" s="83" t="str">
        <f>HYPERLINK("https://innovativeincomeinvestor.com/security/wintrust-financial-corpoartion-6-875-fixed-rate-reset-non-cumulative-perpetual-preferred-stock-series-e/","WTFCP")</f>
        <v>WTFCP</v>
      </c>
      <c r="I699" s="47">
        <v>6.8750000000000006E-2</v>
      </c>
      <c r="J699" s="65">
        <f ca="1">IFERROR(__xludf.DUMMYFUNCTION("GoogleFinance(H699)"),24.99)</f>
        <v>24.99</v>
      </c>
      <c r="K699" s="67">
        <f ca="1">IFERROR(__xludf.DUMMYFUNCTION("googlefinance(H699,""change"")"),0.01)</f>
        <v>0.01</v>
      </c>
      <c r="L699" s="27">
        <f t="shared" ca="1" si="399"/>
        <v>6.877751100440177E-2</v>
      </c>
      <c r="M699" s="27">
        <f t="shared" ca="1" si="396"/>
        <v>3.0142157684996371E-2</v>
      </c>
      <c r="N699" s="28" t="s">
        <v>31</v>
      </c>
      <c r="O699" s="28" t="s">
        <v>32</v>
      </c>
      <c r="P699" s="28" t="s">
        <v>32</v>
      </c>
      <c r="Q699" s="29">
        <f t="shared" si="400"/>
        <v>0.42968750000000006</v>
      </c>
      <c r="R699" s="64">
        <v>45853</v>
      </c>
      <c r="S699" s="54" t="s">
        <v>41</v>
      </c>
      <c r="T699" s="50" t="s">
        <v>60</v>
      </c>
      <c r="U699" s="16">
        <f t="shared" ca="1" si="392"/>
        <v>1.3698630136986301E-2</v>
      </c>
      <c r="V699" s="11" t="str">
        <v>All</v>
      </c>
      <c r="X699">
        <f t="shared" ca="1" si="369"/>
        <v>6.9167440067316302E-2</v>
      </c>
      <c r="Z699" s="17">
        <f t="shared" ca="1" si="370"/>
        <v>46213</v>
      </c>
      <c r="AG699" s="33">
        <f t="shared" ca="1" si="371"/>
        <v>6.8965826681861978E-2</v>
      </c>
      <c r="AH699">
        <f t="shared" ca="1" si="372"/>
        <v>6.8844898826778578E-2</v>
      </c>
      <c r="AI699">
        <f t="shared" ca="1" si="373"/>
        <v>6.8821957923949489E-2</v>
      </c>
      <c r="AJ699">
        <f t="shared" ca="1" si="374"/>
        <v>6.8805236213316537E-2</v>
      </c>
      <c r="AK699">
        <f t="shared" ca="1" si="375"/>
        <v>6.8786266517233768E-2</v>
      </c>
    </row>
    <row r="700" spans="1:37" ht="17.25" customHeight="1">
      <c r="A700" s="19"/>
      <c r="B700" s="45" t="s">
        <v>529</v>
      </c>
      <c r="C700" s="28" t="s">
        <v>27</v>
      </c>
      <c r="D700" s="28" t="s">
        <v>35</v>
      </c>
      <c r="E700" s="28" t="s">
        <v>110</v>
      </c>
      <c r="F700" s="28" t="s">
        <v>61</v>
      </c>
      <c r="G700" s="28" t="s">
        <v>38</v>
      </c>
      <c r="H700" s="51" t="str">
        <f>HYPERLINK("https://innovativeincomeinvestor.com/security/wintrust-financial-corporation-7-875-fixed-rate-reset-non-cumulative-perpetual-preferred-stock-series-f/","WTFCN")</f>
        <v>WTFCN</v>
      </c>
      <c r="I700" s="47">
        <v>7.8750000000000001E-2</v>
      </c>
      <c r="J700" s="65">
        <f ca="1">IFERROR(__xludf.DUMMYFUNCTION("GoogleFinance(H700)"),25.83)</f>
        <v>25.83</v>
      </c>
      <c r="K700" s="67">
        <f ca="1">IFERROR(__xludf.DUMMYFUNCTION("googlefinance(H700,""change"")"),-0.02)</f>
        <v>-0.02</v>
      </c>
      <c r="L700" s="27">
        <f t="shared" ca="1" si="399"/>
        <v>7.6190476190476197E-2</v>
      </c>
      <c r="M700" s="27" t="e">
        <f t="shared" ca="1" si="396"/>
        <v>#DIV/0!</v>
      </c>
      <c r="N700" s="28" t="s">
        <v>31</v>
      </c>
      <c r="O700" s="28" t="s">
        <v>32</v>
      </c>
      <c r="P700" s="28" t="s">
        <v>32</v>
      </c>
      <c r="Q700" s="65">
        <v>0.49199999999999999</v>
      </c>
      <c r="R700" s="64">
        <v>47679</v>
      </c>
      <c r="S700" s="28" t="s">
        <v>41</v>
      </c>
      <c r="T700" s="62" t="s">
        <v>60</v>
      </c>
      <c r="U700" s="16"/>
      <c r="V700" s="11" t="str">
        <v>All</v>
      </c>
      <c r="X700">
        <f t="shared" ca="1" si="369"/>
        <v>4.4619020310300676E-2</v>
      </c>
      <c r="Z700" s="17">
        <f t="shared" ca="1" si="370"/>
        <v>46213</v>
      </c>
      <c r="AG700" s="33">
        <f t="shared" ca="1" si="371"/>
        <v>6.0990891243917413E-2</v>
      </c>
      <c r="AH700">
        <f t="shared" ca="1" si="372"/>
        <v>7.0803330566291831E-2</v>
      </c>
      <c r="AI700">
        <f t="shared" ca="1" si="373"/>
        <v>7.2652853011718768E-2</v>
      </c>
      <c r="AJ700">
        <f t="shared" ca="1" si="374"/>
        <v>7.4019447299173105E-2</v>
      </c>
      <c r="AK700">
        <f t="shared" ca="1" si="375"/>
        <v>7.5517342801444245E-2</v>
      </c>
    </row>
    <row r="701" spans="1:37" ht="17.25" customHeight="1">
      <c r="A701" s="19"/>
      <c r="B701" s="45" t="s">
        <v>530</v>
      </c>
      <c r="C701" s="28" t="s">
        <v>27</v>
      </c>
      <c r="D701" s="28" t="s">
        <v>27</v>
      </c>
      <c r="E701" s="28" t="s">
        <v>28</v>
      </c>
      <c r="F701" s="28" t="s">
        <v>29</v>
      </c>
      <c r="G701" s="28" t="s">
        <v>30</v>
      </c>
      <c r="H701" s="83" t="str">
        <f>HYPERLINK("https://innovativeincomeinvestor.com/security/wr-berkley-corporation-5-10-subordinated-debentures-due-2059/","WRB-F")</f>
        <v>WRB-F</v>
      </c>
      <c r="I701" s="47">
        <v>5.0999999999999997E-2</v>
      </c>
      <c r="J701" s="65">
        <f ca="1">IFERROR(__xludf.DUMMYFUNCTION("GoogleFinance(H701)"),20.46)</f>
        <v>20.46</v>
      </c>
      <c r="K701" s="26">
        <f ca="1">IFERROR(__xludf.DUMMYFUNCTION("GOOGLEFINANCE(H701,""change"")"),-0.21)</f>
        <v>-0.21</v>
      </c>
      <c r="L701" s="27">
        <f t="shared" ref="L701:L707" ca="1" si="401">Q701*4/J701</f>
        <v>6.2561094819159335E-2</v>
      </c>
      <c r="M701" s="27">
        <f t="shared" ref="M701:M702" ca="1" si="402">(25-J701)/25</f>
        <v>0.18159999999999996</v>
      </c>
      <c r="N701" s="28" t="s">
        <v>39</v>
      </c>
      <c r="O701" s="28" t="s">
        <v>55</v>
      </c>
      <c r="P701" s="28" t="s">
        <v>76</v>
      </c>
      <c r="Q701" s="65">
        <v>0.32</v>
      </c>
      <c r="R701" s="64">
        <v>45656</v>
      </c>
      <c r="S701" s="64">
        <v>58439</v>
      </c>
      <c r="T701" s="62" t="s">
        <v>56</v>
      </c>
      <c r="U701" s="16" t="s">
        <v>0</v>
      </c>
      <c r="V701" s="11" t="str">
        <v>All</v>
      </c>
      <c r="X701">
        <f t="shared" ca="1" si="369"/>
        <v>0.2634546662029133</v>
      </c>
      <c r="Z701" s="17">
        <f t="shared" ca="1" si="370"/>
        <v>46213</v>
      </c>
      <c r="AG701" s="33">
        <f t="shared" ca="1" si="371"/>
        <v>0.15875161944537666</v>
      </c>
      <c r="AH701">
        <f t="shared" ca="1" si="372"/>
        <v>9.7321905180322854E-2</v>
      </c>
      <c r="AI701">
        <f t="shared" ca="1" si="373"/>
        <v>8.5797193174915409E-2</v>
      </c>
      <c r="AJ701">
        <f t="shared" ca="1" si="374"/>
        <v>7.7243553704499271E-2</v>
      </c>
      <c r="AK701">
        <f t="shared" ca="1" si="375"/>
        <v>6.7636462130311034E-2</v>
      </c>
    </row>
    <row r="702" spans="1:37" ht="17.25" customHeight="1">
      <c r="A702" s="19"/>
      <c r="B702" s="45" t="s">
        <v>530</v>
      </c>
      <c r="C702" s="28" t="s">
        <v>27</v>
      </c>
      <c r="D702" s="28" t="s">
        <v>27</v>
      </c>
      <c r="E702" s="28" t="s">
        <v>28</v>
      </c>
      <c r="F702" s="28" t="s">
        <v>29</v>
      </c>
      <c r="G702" s="28" t="s">
        <v>30</v>
      </c>
      <c r="H702" s="110" t="str">
        <f>HYPERLINK("https://innovativeincomeinvestor.com/security/wr-berkley-5-70-subordinated-debentures-due-2058/","WRB-E")</f>
        <v>WRB-E</v>
      </c>
      <c r="I702" s="47">
        <v>5.7000000000000002E-2</v>
      </c>
      <c r="J702" s="65">
        <f ca="1">IFERROR(__xludf.DUMMYFUNCTION("GoogleFinance(H702)"),22.51)</f>
        <v>22.51</v>
      </c>
      <c r="K702" s="48">
        <f ca="1">IFERROR(__xludf.DUMMYFUNCTION("GOOGLEFINANCE(H702,""change"")"),-0.18)</f>
        <v>-0.18</v>
      </c>
      <c r="L702" s="27">
        <f t="shared" ca="1" si="401"/>
        <v>6.3793869391381597E-2</v>
      </c>
      <c r="M702" s="27">
        <f t="shared" ca="1" si="402"/>
        <v>9.9599999999999939E-2</v>
      </c>
      <c r="N702" s="28" t="s">
        <v>39</v>
      </c>
      <c r="O702" s="28" t="s">
        <v>55</v>
      </c>
      <c r="P702" s="28" t="s">
        <v>76</v>
      </c>
      <c r="Q702" s="65">
        <v>0.35899999999999999</v>
      </c>
      <c r="R702" s="64">
        <v>45015</v>
      </c>
      <c r="S702" s="64">
        <v>57799</v>
      </c>
      <c r="T702" s="62" t="s">
        <v>56</v>
      </c>
      <c r="U702" s="16">
        <f t="shared" ref="U702:U709" ca="1" si="403">(R702-TODAY())/365</f>
        <v>-2.2821917808219179</v>
      </c>
      <c r="V702" s="11" t="str">
        <v>All</v>
      </c>
      <c r="X702">
        <f t="shared" ca="1" si="369"/>
        <v>0.16722267534173405</v>
      </c>
      <c r="Z702" s="17">
        <f t="shared" ca="1" si="370"/>
        <v>46213</v>
      </c>
      <c r="AG702" s="33">
        <f t="shared" ca="1" si="371"/>
        <v>0.11335774937020068</v>
      </c>
      <c r="AH702">
        <f t="shared" ca="1" si="372"/>
        <v>8.1461477936062593E-2</v>
      </c>
      <c r="AI702">
        <f t="shared" ca="1" si="373"/>
        <v>7.5456972541138159E-2</v>
      </c>
      <c r="AJ702">
        <f t="shared" ca="1" si="374"/>
        <v>7.1000281472183249E-2</v>
      </c>
      <c r="AK702">
        <f t="shared" ca="1" si="375"/>
        <v>6.6008352288560904E-2</v>
      </c>
    </row>
    <row r="703" spans="1:37" ht="17.25" customHeight="1">
      <c r="A703" s="19"/>
      <c r="B703" s="84" t="s">
        <v>530</v>
      </c>
      <c r="C703" s="28" t="s">
        <v>27</v>
      </c>
      <c r="D703" s="36" t="s">
        <v>27</v>
      </c>
      <c r="E703" s="36" t="s">
        <v>28</v>
      </c>
      <c r="F703" s="36" t="s">
        <v>29</v>
      </c>
      <c r="G703" s="28" t="s">
        <v>30</v>
      </c>
      <c r="H703" s="94" t="str">
        <f>HYPERLINK("https://innovativeincomeinvestor.com/security/wr-berkley-corporation-4-25-subordinated-debentures-due-2060/","WRB-G")</f>
        <v>WRB-G</v>
      </c>
      <c r="I703" s="47">
        <v>4.2500000000000003E-2</v>
      </c>
      <c r="J703" s="65">
        <f ca="1">IFERROR(__xludf.DUMMYFUNCTION("GoogleFinance(H703)"),16.71)</f>
        <v>16.71</v>
      </c>
      <c r="K703" s="26">
        <f ca="1">IFERROR(__xludf.DUMMYFUNCTION("GOOGLEFINANCE(H703,""change"")"),-0.09)</f>
        <v>-0.09</v>
      </c>
      <c r="L703" s="27">
        <f t="shared" ca="1" si="401"/>
        <v>6.4631956912028721E-2</v>
      </c>
      <c r="M703" s="27">
        <f t="shared" ref="M703:M706" ca="1" si="404">L703*U703+(25-J703)/25/U703</f>
        <v>1.4905444463172897</v>
      </c>
      <c r="N703" s="28" t="s">
        <v>39</v>
      </c>
      <c r="O703" s="28" t="s">
        <v>55</v>
      </c>
      <c r="P703" s="28" t="s">
        <v>76</v>
      </c>
      <c r="Q703" s="29">
        <v>0.27</v>
      </c>
      <c r="R703" s="64">
        <v>45930</v>
      </c>
      <c r="S703" s="61">
        <v>58714</v>
      </c>
      <c r="T703" s="62" t="s">
        <v>56</v>
      </c>
      <c r="U703" s="16">
        <f t="shared" ca="1" si="403"/>
        <v>0.22465753424657534</v>
      </c>
      <c r="V703" s="11" t="str">
        <v>All</v>
      </c>
      <c r="X703">
        <f t="shared" ca="1" si="369"/>
        <v>0.47895668687517462</v>
      </c>
      <c r="Z703" s="17">
        <f t="shared" ca="1" si="370"/>
        <v>46213</v>
      </c>
      <c r="AG703" s="33">
        <f t="shared" ca="1" si="371"/>
        <v>0.26043771758471274</v>
      </c>
      <c r="AH703">
        <f t="shared" ca="1" si="372"/>
        <v>0.13475965862951667</v>
      </c>
      <c r="AI703">
        <f t="shared" ca="1" si="373"/>
        <v>0.11137268437092869</v>
      </c>
      <c r="AJ703">
        <f t="shared" ca="1" si="374"/>
        <v>9.403802498283656E-2</v>
      </c>
      <c r="AK703">
        <f t="shared" ca="1" si="375"/>
        <v>7.4539024337172716E-2</v>
      </c>
    </row>
    <row r="704" spans="1:37" ht="17.25" customHeight="1">
      <c r="A704" s="19"/>
      <c r="B704" s="84" t="s">
        <v>530</v>
      </c>
      <c r="C704" s="28" t="s">
        <v>27</v>
      </c>
      <c r="D704" s="36" t="s">
        <v>27</v>
      </c>
      <c r="E704" s="36" t="s">
        <v>28</v>
      </c>
      <c r="F704" s="36" t="s">
        <v>29</v>
      </c>
      <c r="G704" s="28" t="s">
        <v>30</v>
      </c>
      <c r="H704" s="90" t="str">
        <f>HYPERLINK("https://innovativeincomeinvestor.com/security/w-r-berkley-corporation-4-125-subordinated-debentures-due-2061/","WRB-H")</f>
        <v>WRB-H</v>
      </c>
      <c r="I704" s="47">
        <v>4.1250000000000002E-2</v>
      </c>
      <c r="J704" s="65">
        <f ca="1">IFERROR(__xludf.DUMMYFUNCTION("GoogleFinance(H704)"),16.16)</f>
        <v>16.16</v>
      </c>
      <c r="K704" s="26">
        <f ca="1">IFERROR(__xludf.DUMMYFUNCTION("GOOGLEFINANCE(H704,""change"")"),-0.14)</f>
        <v>-0.14000000000000001</v>
      </c>
      <c r="L704" s="27">
        <f t="shared" ca="1" si="401"/>
        <v>6.4356435643564358E-2</v>
      </c>
      <c r="M704" s="27">
        <f t="shared" ca="1" si="404"/>
        <v>0.53710954004927025</v>
      </c>
      <c r="N704" s="28" t="s">
        <v>39</v>
      </c>
      <c r="O704" s="28" t="s">
        <v>55</v>
      </c>
      <c r="P704" s="28" t="s">
        <v>76</v>
      </c>
      <c r="Q704" s="29">
        <v>0.26</v>
      </c>
      <c r="R704" s="64">
        <v>46111</v>
      </c>
      <c r="S704" s="61">
        <v>58895</v>
      </c>
      <c r="T704" s="62" t="s">
        <v>56</v>
      </c>
      <c r="U704" s="16">
        <f t="shared" ca="1" si="403"/>
        <v>0.72054794520547949</v>
      </c>
      <c r="V704" s="11" t="str">
        <v>All</v>
      </c>
      <c r="X704">
        <f t="shared" ca="1" si="369"/>
        <v>0.51570183923872637</v>
      </c>
      <c r="Z704" s="17">
        <f t="shared" ca="1" si="370"/>
        <v>46213</v>
      </c>
      <c r="AG704" s="33">
        <f t="shared" ca="1" si="371"/>
        <v>0.27755581477744035</v>
      </c>
      <c r="AH704">
        <f t="shared" ca="1" si="372"/>
        <v>0.14104111482884138</v>
      </c>
      <c r="AI704">
        <f t="shared" ca="1" si="373"/>
        <v>0.11567224398372071</v>
      </c>
      <c r="AJ704">
        <f t="shared" ca="1" si="374"/>
        <v>9.68731510899868E-2</v>
      </c>
      <c r="AK704">
        <f t="shared" ca="1" si="375"/>
        <v>7.572285668554575E-2</v>
      </c>
    </row>
    <row r="705" spans="1:37" ht="17.25" customHeight="1">
      <c r="A705" s="19"/>
      <c r="B705" s="84" t="s">
        <v>531</v>
      </c>
      <c r="C705" s="28" t="s">
        <v>35</v>
      </c>
      <c r="D705" s="36" t="s">
        <v>36</v>
      </c>
      <c r="E705" s="36" t="s">
        <v>37</v>
      </c>
      <c r="F705" s="36" t="s">
        <v>29</v>
      </c>
      <c r="G705" s="28" t="s">
        <v>177</v>
      </c>
      <c r="H705" s="55" t="str">
        <f>HYPERLINK("https://innovativeincomeinvestor.com/security/xai-octagon-floating-rate-alternative-income-trust-6-50-series-2026-term-preferred-shares/","XFLT-A")</f>
        <v>XFLT-A</v>
      </c>
      <c r="I705" s="47">
        <v>6.5000000000000002E-2</v>
      </c>
      <c r="J705" s="65">
        <f ca="1">IFERROR(__xludf.DUMMYFUNCTION("GoogleFinance(H705)"),25.26)</f>
        <v>25.26</v>
      </c>
      <c r="K705" s="26">
        <f ca="1">IFERROR(__xludf.DUMMYFUNCTION("GOOGLEFINANCE(H705,""change"")"),0.07)</f>
        <v>7.0000000000000007E-2</v>
      </c>
      <c r="L705" s="27">
        <f t="shared" ca="1" si="401"/>
        <v>6.4330958036421221E-2</v>
      </c>
      <c r="M705" s="27">
        <f t="shared" ca="1" si="404"/>
        <v>-0.14207683448302039</v>
      </c>
      <c r="N705" s="28" t="s">
        <v>31</v>
      </c>
      <c r="O705" s="28" t="s">
        <v>32</v>
      </c>
      <c r="P705" s="28" t="s">
        <v>32</v>
      </c>
      <c r="Q705" s="29">
        <f>(I705*25)/4</f>
        <v>0.40625</v>
      </c>
      <c r="R705" s="64">
        <v>45016</v>
      </c>
      <c r="S705" s="61">
        <v>46112</v>
      </c>
      <c r="T705" s="62" t="s">
        <v>79</v>
      </c>
      <c r="U705" s="16">
        <f t="shared" ca="1" si="403"/>
        <v>-2.2794520547945205</v>
      </c>
      <c r="V705" s="11" t="str">
        <v>All</v>
      </c>
      <c r="X705">
        <f t="shared" ca="1" si="369"/>
        <v>5.4245032675327126E-2</v>
      </c>
      <c r="Z705" s="17">
        <f t="shared" ca="1" si="370"/>
        <v>46213</v>
      </c>
      <c r="AG705" s="33">
        <f t="shared" ca="1" si="371"/>
        <v>5.9446255537677177E-2</v>
      </c>
      <c r="AH705">
        <f t="shared" ca="1" si="372"/>
        <v>6.2560181923596622E-2</v>
      </c>
      <c r="AI705">
        <f t="shared" ca="1" si="373"/>
        <v>6.3148627685301079E-2</v>
      </c>
      <c r="AJ705">
        <f t="shared" ca="1" si="374"/>
        <v>6.3585632492786939E-2</v>
      </c>
      <c r="AK705">
        <f t="shared" ca="1" si="375"/>
        <v>6.4072981635123927E-2</v>
      </c>
    </row>
    <row r="706" spans="1:37" ht="17.25" customHeight="1">
      <c r="A706" s="19"/>
      <c r="B706" s="84" t="s">
        <v>532</v>
      </c>
      <c r="C706" s="28" t="s">
        <v>35</v>
      </c>
      <c r="D706" s="36" t="s">
        <v>35</v>
      </c>
      <c r="E706" s="36" t="s">
        <v>67</v>
      </c>
      <c r="F706" s="36" t="s">
        <v>29</v>
      </c>
      <c r="G706" s="28" t="s">
        <v>38</v>
      </c>
      <c r="H706" s="55" t="str">
        <f>HYPERLINK("https://innovativeincomeinvestor.com/security/xoma-corporation-8-625-series-a-cumulative-perpetual-preferred-stock/","XOMAP")</f>
        <v>XOMAP</v>
      </c>
      <c r="I706" s="47">
        <v>8.6249999999999993E-2</v>
      </c>
      <c r="J706" s="65">
        <f ca="1">IFERROR(__xludf.DUMMYFUNCTION("GoogleFinance(H706)"),25.7)</f>
        <v>25.7</v>
      </c>
      <c r="K706" s="26">
        <f ca="1">IFERROR(__xludf.DUMMYFUNCTION("GOOGLEFINANCE(H706,""change"")"),0.28)</f>
        <v>0.28000000000000003</v>
      </c>
      <c r="L706" s="27">
        <f t="shared" ca="1" si="401"/>
        <v>8.390661478599222E-2</v>
      </c>
      <c r="M706" s="27">
        <f t="shared" ca="1" si="404"/>
        <v>-0.29169168250967875</v>
      </c>
      <c r="N706" s="28" t="s">
        <v>31</v>
      </c>
      <c r="O706" s="28" t="s">
        <v>32</v>
      </c>
      <c r="P706" s="28" t="s">
        <v>32</v>
      </c>
      <c r="Q706" s="29">
        <v>0.53910000000000002</v>
      </c>
      <c r="R706" s="64">
        <v>44545</v>
      </c>
      <c r="S706" s="54" t="s">
        <v>41</v>
      </c>
      <c r="T706" s="62" t="s">
        <v>60</v>
      </c>
      <c r="U706" s="16">
        <f t="shared" ca="1" si="403"/>
        <v>-3.56986301369863</v>
      </c>
      <c r="V706" s="11" t="str">
        <v>All</v>
      </c>
      <c r="X706">
        <f t="shared" ca="1" si="369"/>
        <v>5.7241163392950184E-2</v>
      </c>
      <c r="Z706" s="17">
        <f t="shared" ca="1" si="370"/>
        <v>46213</v>
      </c>
      <c r="AG706" s="33">
        <f t="shared" ca="1" si="371"/>
        <v>7.1107048782050652E-2</v>
      </c>
      <c r="AH706">
        <f t="shared" ca="1" si="372"/>
        <v>7.9406579205038921E-2</v>
      </c>
      <c r="AI706">
        <f t="shared" ca="1" si="373"/>
        <v>8.0966656125532568E-2</v>
      </c>
      <c r="AJ706">
        <f t="shared" ca="1" si="374"/>
        <v>8.2115496875277277E-2</v>
      </c>
      <c r="AK706">
        <f t="shared" ca="1" si="375"/>
        <v>8.3359183055848121E-2</v>
      </c>
    </row>
    <row r="707" spans="1:37" ht="17.25" customHeight="1">
      <c r="A707" s="19"/>
      <c r="B707" s="84" t="s">
        <v>532</v>
      </c>
      <c r="C707" s="28" t="s">
        <v>35</v>
      </c>
      <c r="D707" s="36" t="s">
        <v>35</v>
      </c>
      <c r="E707" s="36" t="s">
        <v>67</v>
      </c>
      <c r="F707" s="36" t="s">
        <v>29</v>
      </c>
      <c r="G707" s="28" t="s">
        <v>38</v>
      </c>
      <c r="H707" s="55" t="str">
        <f>HYPERLINK("https://innovativeincomeinvestor.com/security/xoma-corporation-8-375-series-b-cumulative-perpetual-preferred-stock/","XOMAO")</f>
        <v>XOMAO</v>
      </c>
      <c r="I707" s="47">
        <v>8.3750000000000005E-2</v>
      </c>
      <c r="J707" s="65">
        <f ca="1">IFERROR(__xludf.DUMMYFUNCTION("GoogleFinance(H707)"),25.25)</f>
        <v>25.25</v>
      </c>
      <c r="K707" s="26">
        <f ca="1">IFERROR(__xludf.DUMMYFUNCTION("GOOGLEFINANCE(H707,""change"")"),-0.07)</f>
        <v>-7.0000000000000007E-2</v>
      </c>
      <c r="L707" s="27">
        <f t="shared" ca="1" si="401"/>
        <v>8.237623762376238E-2</v>
      </c>
      <c r="M707" s="27">
        <f ca="1">(25-J707)/25</f>
        <v>-0.01</v>
      </c>
      <c r="N707" s="28" t="s">
        <v>31</v>
      </c>
      <c r="O707" s="28" t="s">
        <v>32</v>
      </c>
      <c r="P707" s="28" t="s">
        <v>32</v>
      </c>
      <c r="Q707" s="29">
        <v>0.52</v>
      </c>
      <c r="R707" s="64">
        <v>44666</v>
      </c>
      <c r="S707" s="54" t="s">
        <v>41</v>
      </c>
      <c r="T707" s="62" t="s">
        <v>60</v>
      </c>
      <c r="U707" s="16">
        <f t="shared" ca="1" si="403"/>
        <v>-3.2383561643835614</v>
      </c>
      <c r="V707" s="11" t="str">
        <v>All</v>
      </c>
      <c r="X707">
        <f t="shared" ref="X707:X710" ca="1" si="405">YIELD($W$1,Z707,I707,J707*4,100,4,0)</f>
        <v>7.3287793484487621E-2</v>
      </c>
      <c r="Z707" s="17">
        <f t="shared" ref="Z707:Z710" ca="1" si="406">TODAY()+($Z$1*$Y$1)</f>
        <v>46213</v>
      </c>
      <c r="AG707" s="33">
        <f t="shared" ref="AG707:AG711" ca="1" si="407">YIELD($W$1,$AA$2,I707,J707*4,100,4,0)</f>
        <v>7.8299607549958877E-2</v>
      </c>
      <c r="AH707">
        <f t="shared" ref="AH707:AH711" ca="1" si="408">YIELD($W$1,$AB$2,I707,J707*4,100,4,0)</f>
        <v>8.1294411003436026E-2</v>
      </c>
      <c r="AI707">
        <f t="shared" ref="AI707:AI710" ca="1" si="409">YIELD($W$1,$AC$2,I707,J707*4,100,4,0)</f>
        <v>8.1857103712413531E-2</v>
      </c>
      <c r="AJ707">
        <f t="shared" ref="AJ707:AJ710" ca="1" si="410">YIELD($W$1,$AD$2,I707,J707*4,100,4,0)</f>
        <v>8.2271951817644517E-2</v>
      </c>
      <c r="AK707">
        <f t="shared" ref="AK707:AK711" ca="1" si="411">YIELD($W$1,$AE$2,I707,J707*4,100,4,0)</f>
        <v>8.272166431751056E-2</v>
      </c>
    </row>
    <row r="708" spans="1:37" ht="17.25" customHeight="1">
      <c r="A708" s="19"/>
      <c r="B708" s="45" t="s">
        <v>533</v>
      </c>
      <c r="C708" s="28" t="s">
        <v>27</v>
      </c>
      <c r="D708" s="28" t="s">
        <v>27</v>
      </c>
      <c r="E708" s="28" t="s">
        <v>110</v>
      </c>
      <c r="F708" s="28" t="s">
        <v>46</v>
      </c>
      <c r="G708" s="28" t="s">
        <v>30</v>
      </c>
      <c r="H708" s="66" t="str">
        <f>HYPERLINK("https://innovativeincomeinvestor.com/security/zions-bancorporation-6-95-fixed-to-floating-rate-subordinated-notes-due-2028/","ZIONL")</f>
        <v>ZIONL</v>
      </c>
      <c r="I708" s="47">
        <v>6.9500000000000006E-2</v>
      </c>
      <c r="J708" s="67" t="s">
        <v>68</v>
      </c>
      <c r="K708" s="67" t="s">
        <v>68</v>
      </c>
      <c r="L708" s="67" t="s">
        <v>68</v>
      </c>
      <c r="M708" s="67" t="s">
        <v>68</v>
      </c>
      <c r="N708" s="28" t="s">
        <v>31</v>
      </c>
      <c r="O708" s="28" t="s">
        <v>50</v>
      </c>
      <c r="P708" s="28" t="s">
        <v>83</v>
      </c>
      <c r="Q708" s="52" t="s">
        <v>47</v>
      </c>
      <c r="R708" s="64">
        <v>45184</v>
      </c>
      <c r="S708" s="64">
        <v>47011</v>
      </c>
      <c r="T708" s="62" t="s">
        <v>52</v>
      </c>
      <c r="U708" s="16">
        <f t="shared" ca="1" si="403"/>
        <v>-1.8191780821917809</v>
      </c>
      <c r="V708" s="11" t="str">
        <v>All</v>
      </c>
      <c r="X708" t="e">
        <f t="shared" ca="1" si="405"/>
        <v>#VALUE!</v>
      </c>
      <c r="Z708" s="17">
        <f t="shared" ca="1" si="406"/>
        <v>46213</v>
      </c>
      <c r="AG708" s="33" t="e">
        <f t="shared" ca="1" si="407"/>
        <v>#VALUE!</v>
      </c>
      <c r="AH708" t="e">
        <f t="shared" ca="1" si="408"/>
        <v>#VALUE!</v>
      </c>
      <c r="AI708" t="e">
        <f t="shared" ca="1" si="409"/>
        <v>#VALUE!</v>
      </c>
      <c r="AJ708" t="e">
        <f t="shared" ca="1" si="410"/>
        <v>#VALUE!</v>
      </c>
      <c r="AK708" t="e">
        <f t="shared" ca="1" si="411"/>
        <v>#VALUE!</v>
      </c>
    </row>
    <row r="709" spans="1:37" ht="17.25" customHeight="1">
      <c r="A709" s="19"/>
      <c r="B709" s="84" t="s">
        <v>533</v>
      </c>
      <c r="C709" s="28" t="s">
        <v>27</v>
      </c>
      <c r="D709" s="36" t="s">
        <v>35</v>
      </c>
      <c r="E709" s="36" t="s">
        <v>110</v>
      </c>
      <c r="F709" s="28" t="s">
        <v>46</v>
      </c>
      <c r="G709" s="28" t="s">
        <v>38</v>
      </c>
      <c r="H709" s="63" t="str">
        <f>HYPERLINK("https://innovativeincomeinvestor.com/security/zions-bancorporation-6-30-dep-shares-fixedfloat-non-cum-pfd-stock-series-g/","ZIONO")</f>
        <v>ZIONO</v>
      </c>
      <c r="I709" s="47">
        <v>6.3E-2</v>
      </c>
      <c r="J709" s="86" t="s">
        <v>68</v>
      </c>
      <c r="K709" s="86" t="s">
        <v>68</v>
      </c>
      <c r="L709" s="86" t="s">
        <v>68</v>
      </c>
      <c r="M709" s="86" t="s">
        <v>68</v>
      </c>
      <c r="N709" s="28" t="s">
        <v>31</v>
      </c>
      <c r="O709" s="28" t="s">
        <v>69</v>
      </c>
      <c r="P709" s="28" t="s">
        <v>83</v>
      </c>
      <c r="Q709" s="52" t="s">
        <v>47</v>
      </c>
      <c r="R709" s="64">
        <v>45000</v>
      </c>
      <c r="S709" s="54" t="s">
        <v>41</v>
      </c>
      <c r="T709" s="62" t="s">
        <v>52</v>
      </c>
      <c r="U709" s="16">
        <f t="shared" ca="1" si="403"/>
        <v>-2.3232876712328765</v>
      </c>
      <c r="V709" s="11" t="str">
        <v>All</v>
      </c>
      <c r="X709" t="e">
        <f t="shared" ca="1" si="405"/>
        <v>#VALUE!</v>
      </c>
      <c r="Z709" s="17">
        <f t="shared" ca="1" si="406"/>
        <v>46213</v>
      </c>
      <c r="AG709" s="33" t="e">
        <f t="shared" ca="1" si="407"/>
        <v>#VALUE!</v>
      </c>
      <c r="AH709" t="e">
        <f t="shared" ca="1" si="408"/>
        <v>#VALUE!</v>
      </c>
      <c r="AI709" t="e">
        <f t="shared" ca="1" si="409"/>
        <v>#VALUE!</v>
      </c>
      <c r="AJ709" t="e">
        <f t="shared" ca="1" si="410"/>
        <v>#VALUE!</v>
      </c>
      <c r="AK709" t="e">
        <f t="shared" ca="1" si="411"/>
        <v>#VALUE!</v>
      </c>
    </row>
    <row r="710" spans="1:37" ht="17.25" customHeight="1">
      <c r="A710" s="19"/>
      <c r="B710" s="84" t="s">
        <v>533</v>
      </c>
      <c r="C710" s="28" t="s">
        <v>27</v>
      </c>
      <c r="D710" s="36" t="s">
        <v>35</v>
      </c>
      <c r="E710" s="36" t="s">
        <v>110</v>
      </c>
      <c r="F710" s="36" t="s">
        <v>138</v>
      </c>
      <c r="G710" s="28" t="s">
        <v>38</v>
      </c>
      <c r="H710" s="63" t="str">
        <f>HYPERLINK("https://innovativeincomeinvestor.com/security/zions-bancorporation-floating-rate-series-a-non-cumul-perp-preferred-stock/","ZIONP")</f>
        <v>ZIONP</v>
      </c>
      <c r="I710" s="47">
        <v>0.04</v>
      </c>
      <c r="J710" s="65">
        <f ca="1">IFERROR(__xludf.DUMMYFUNCTION("GoogleFinance(H710)"),22.75)</f>
        <v>22.75</v>
      </c>
      <c r="K710" s="67">
        <f ca="1">IFERROR(__xludf.DUMMYFUNCTION("googlefinance(H710,""change"")"),-0.02)</f>
        <v>-0.02</v>
      </c>
      <c r="L710" s="52" t="s">
        <v>47</v>
      </c>
      <c r="M710" s="52" t="s">
        <v>47</v>
      </c>
      <c r="N710" s="28" t="s">
        <v>31</v>
      </c>
      <c r="O710" s="28" t="s">
        <v>69</v>
      </c>
      <c r="P710" s="28" t="s">
        <v>83</v>
      </c>
      <c r="Q710" s="52" t="s">
        <v>47</v>
      </c>
      <c r="R710" s="64">
        <v>40892</v>
      </c>
      <c r="S710" s="54" t="s">
        <v>41</v>
      </c>
      <c r="T710" s="62" t="s">
        <v>52</v>
      </c>
      <c r="U710" s="16" t="s">
        <v>0</v>
      </c>
      <c r="V710" s="11" t="str">
        <v>All</v>
      </c>
      <c r="X710">
        <f t="shared" ca="1" si="405"/>
        <v>0.13788756524276635</v>
      </c>
      <c r="Z710" s="17">
        <f t="shared" ca="1" si="406"/>
        <v>46213</v>
      </c>
      <c r="AG710" s="33">
        <f t="shared" ca="1" si="407"/>
        <v>8.9656159476708006E-2</v>
      </c>
      <c r="AH710">
        <f t="shared" ca="1" si="408"/>
        <v>6.1031624659448197E-2</v>
      </c>
      <c r="AI710">
        <f t="shared" ca="1" si="409"/>
        <v>5.5620017356136225E-2</v>
      </c>
      <c r="AJ710">
        <f t="shared" ca="1" si="410"/>
        <v>5.1581215504775721E-2</v>
      </c>
      <c r="AK710">
        <f t="shared" ca="1" si="411"/>
        <v>4.6966835916560555E-2</v>
      </c>
    </row>
    <row r="711" spans="1:37" ht="17.25" customHeight="1">
      <c r="A711" s="19"/>
      <c r="B711" s="237"/>
      <c r="C711" s="21"/>
      <c r="D711" s="22"/>
      <c r="E711" s="22"/>
      <c r="F711" s="22" t="s">
        <v>534</v>
      </c>
      <c r="G711" s="21"/>
      <c r="H711" s="238"/>
      <c r="I711" s="24"/>
      <c r="J711" s="25"/>
      <c r="K711" s="149"/>
      <c r="L711" s="21"/>
      <c r="M711" s="21"/>
      <c r="N711" s="21"/>
      <c r="O711" s="21"/>
      <c r="P711" s="21"/>
      <c r="Q711" s="21"/>
      <c r="R711" s="30"/>
      <c r="S711" s="125" t="s">
        <v>534</v>
      </c>
      <c r="T711" s="21" t="s">
        <v>534</v>
      </c>
      <c r="U711" s="16"/>
      <c r="V711" s="16" t="str">
        <v/>
      </c>
      <c r="W711" t="s">
        <v>534</v>
      </c>
      <c r="X711" t="s">
        <v>534</v>
      </c>
      <c r="Y711" t="s">
        <v>534</v>
      </c>
      <c r="Z711" t="s">
        <v>534</v>
      </c>
      <c r="AA711" t="s">
        <v>534</v>
      </c>
      <c r="AB711" t="s">
        <v>534</v>
      </c>
      <c r="AC711" t="s">
        <v>534</v>
      </c>
      <c r="AD711" t="s">
        <v>534</v>
      </c>
      <c r="AE711" t="s">
        <v>534</v>
      </c>
      <c r="AF711" t="s">
        <v>534</v>
      </c>
      <c r="AG711" s="33" t="e">
        <f t="shared" ca="1" si="407"/>
        <v>#NUM!</v>
      </c>
      <c r="AH711" t="e">
        <f t="shared" ca="1" si="408"/>
        <v>#NUM!</v>
      </c>
      <c r="AI711" t="s">
        <v>534</v>
      </c>
      <c r="AJ711" t="s">
        <v>534</v>
      </c>
      <c r="AK711" t="e">
        <f t="shared" ca="1" si="411"/>
        <v>#NUM!</v>
      </c>
    </row>
  </sheetData>
  <conditionalFormatting sqref="A1">
    <cfRule type="notContainsBlanks" dxfId="5" priority="5">
      <formula>LEN(TRIM(A1))&gt;0</formula>
    </cfRule>
  </conditionalFormatting>
  <conditionalFormatting sqref="K1">
    <cfRule type="notContainsBlanks" dxfId="4" priority="6">
      <formula>LEN(TRIM(K1))&gt;0</formula>
    </cfRule>
  </conditionalFormatting>
  <conditionalFormatting sqref="K2:K60 K63:K159 K161:K170 K173:K200 K203:K250 K254:K288 K290:K292 K294:K299 K301:K347 K349:K640 K644:K645 K647:K689 K691:K707 K709:K711">
    <cfRule type="cellIs" dxfId="3" priority="2" operator="lessThan">
      <formula>0</formula>
    </cfRule>
    <cfRule type="cellIs" dxfId="2" priority="3" operator="greaterThan">
      <formula>0</formula>
    </cfRule>
  </conditionalFormatting>
  <conditionalFormatting sqref="K301:K347 K2:K60 K63:K159 K161:K170 K173:K200 K203:K250 K254:K288 K290:K292 K294:K299 K349:K640 K644:K645 K647:K689 K691:K707 K709:K711">
    <cfRule type="cellIs" dxfId="1" priority="4" operator="equal">
      <formula>0</formula>
    </cfRule>
  </conditionalFormatting>
  <conditionalFormatting sqref="K342">
    <cfRule type="cellIs" dxfId="0" priority="1" operator="equal">
      <formula>0</formula>
    </cfRule>
  </conditionalFormatting>
  <hyperlinks>
    <hyperlink ref="H598" r:id="rId1" xr:uid="{3D2B57C7-A7E1-4817-9578-ED7CBBD6D82E}"/>
  </hyperlinks>
  <printOptions horizontalCentered="1" gridLines="1"/>
  <pageMargins left="0.7" right="0.7" top="0.75" bottom="0.75" header="0" footer="0"/>
  <pageSetup fitToHeight="0" pageOrder="overThenDown" orientation="landscape" cellComments="atEnd" r:id="rId2"/>
  <legacy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Baykan</dc:creator>
  <cp:lastModifiedBy>Taha Baykan</cp:lastModifiedBy>
  <dcterms:created xsi:type="dcterms:W3CDTF">2025-07-09T23:09:22Z</dcterms:created>
  <dcterms:modified xsi:type="dcterms:W3CDTF">2025-07-09T23:09:36Z</dcterms:modified>
</cp:coreProperties>
</file>